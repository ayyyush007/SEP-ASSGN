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definedName hidden="1" localSheetId="0" name="Z_2C70929F_4309_486A_9219_6863CB20E7B7_.wvu.FilterData">Sheet1!$A$1:$I$51</definedName>
    <definedName name="SlicerCache_Table_1_Col_5">#N/A</definedName>
  </definedNames>
  <calcPr/>
  <customWorkbookViews>
    <customWorkbookView activeSheetId="0" maximized="1" windowHeight="0" windowWidth="0" guid="{2C70929F-4309-486A-9219-6863CB20E7B7}" name="Filter 1"/>
  </customWorkbookViews>
  <pivotCaches>
    <pivotCache cacheId="0" r:id="rId7"/>
    <pivotCache cacheId="1" r:id="rId8"/>
    <pivotCache cacheId="2" r:id="rId9"/>
  </pivotCaches>
  <extLst>
    <ext uri="{46BE6895-7355-4a93-B00E-2C351335B9C9}">
      <x15:slicerCaches>
        <x14:slicerCache r:id="rId10"/>
      </x15:slicerCaches>
    </ext>
  </extLst>
</workbook>
</file>

<file path=xl/sharedStrings.xml><?xml version="1.0" encoding="utf-8"?>
<sst xmlns="http://schemas.openxmlformats.org/spreadsheetml/2006/main" count="369" uniqueCount="103">
  <si>
    <t xml:space="preserve"> Employee ID</t>
  </si>
  <si>
    <t>Name</t>
  </si>
  <si>
    <t>Department</t>
  </si>
  <si>
    <t>Product</t>
  </si>
  <si>
    <t>Region</t>
  </si>
  <si>
    <t>Units Sold</t>
  </si>
  <si>
    <t>Unit Price</t>
  </si>
  <si>
    <t>Date of Sale</t>
  </si>
  <si>
    <t>Total Sale</t>
  </si>
  <si>
    <t>E1000</t>
  </si>
  <si>
    <t>Grace</t>
  </si>
  <si>
    <t>Finance</t>
  </si>
  <si>
    <t>Phone</t>
  </si>
  <si>
    <t>West</t>
  </si>
  <si>
    <t>E1001</t>
  </si>
  <si>
    <t>Tablet</t>
  </si>
  <si>
    <t>South</t>
  </si>
  <si>
    <t>E1002</t>
  </si>
  <si>
    <t>Frank</t>
  </si>
  <si>
    <t>Sales</t>
  </si>
  <si>
    <t>E1003</t>
  </si>
  <si>
    <t>David</t>
  </si>
  <si>
    <t>North</t>
  </si>
  <si>
    <t>E1004</t>
  </si>
  <si>
    <t>Monitor</t>
  </si>
  <si>
    <t>E1005</t>
  </si>
  <si>
    <t>Alice</t>
  </si>
  <si>
    <t>HR</t>
  </si>
  <si>
    <t>Laptop</t>
  </si>
  <si>
    <t>E1006</t>
  </si>
  <si>
    <t>E1007</t>
  </si>
  <si>
    <t>E1008</t>
  </si>
  <si>
    <t>Jack</t>
  </si>
  <si>
    <t>East</t>
  </si>
  <si>
    <t>E1009</t>
  </si>
  <si>
    <t>Marketing</t>
  </si>
  <si>
    <t>E1010</t>
  </si>
  <si>
    <t>Hannah</t>
  </si>
  <si>
    <t>IT</t>
  </si>
  <si>
    <t>E1011</t>
  </si>
  <si>
    <t>E1012</t>
  </si>
  <si>
    <t>Ivy</t>
  </si>
  <si>
    <t>E1013</t>
  </si>
  <si>
    <t>Eve</t>
  </si>
  <si>
    <t>E1014</t>
  </si>
  <si>
    <t>E1015</t>
  </si>
  <si>
    <t>E1016</t>
  </si>
  <si>
    <t>E1017</t>
  </si>
  <si>
    <t>E1018</t>
  </si>
  <si>
    <t>E1019</t>
  </si>
  <si>
    <t>E1020</t>
  </si>
  <si>
    <t>Bob</t>
  </si>
  <si>
    <t>E1021</t>
  </si>
  <si>
    <t>E1022</t>
  </si>
  <si>
    <t>E1023</t>
  </si>
  <si>
    <t>E1024</t>
  </si>
  <si>
    <t>E1025</t>
  </si>
  <si>
    <t>Charlie</t>
  </si>
  <si>
    <t>E1026</t>
  </si>
  <si>
    <t>E1027</t>
  </si>
  <si>
    <t>E1028</t>
  </si>
  <si>
    <t>E1029</t>
  </si>
  <si>
    <t>E1030</t>
  </si>
  <si>
    <t>E1031</t>
  </si>
  <si>
    <t>E1032</t>
  </si>
  <si>
    <t>E1033</t>
  </si>
  <si>
    <t>E1034</t>
  </si>
  <si>
    <t>E1035</t>
  </si>
  <si>
    <t>E1036</t>
  </si>
  <si>
    <t>E1037</t>
  </si>
  <si>
    <t>Keyboard</t>
  </si>
  <si>
    <t>E1038</t>
  </si>
  <si>
    <t>E1039</t>
  </si>
  <si>
    <t>E1040</t>
  </si>
  <si>
    <t>E1041</t>
  </si>
  <si>
    <t>E1042</t>
  </si>
  <si>
    <t>E1043</t>
  </si>
  <si>
    <t>E1044</t>
  </si>
  <si>
    <t>E1045</t>
  </si>
  <si>
    <t>E1046</t>
  </si>
  <si>
    <t>E1047</t>
  </si>
  <si>
    <t>E1048</t>
  </si>
  <si>
    <t>E1049</t>
  </si>
  <si>
    <t>q1</t>
  </si>
  <si>
    <t>SUM of 55325</t>
  </si>
  <si>
    <t>Grand Total</t>
  </si>
  <si>
    <t>q2</t>
  </si>
  <si>
    <t>AVERAGE of 2213</t>
  </si>
  <si>
    <t>q3</t>
  </si>
  <si>
    <t>SUM of 25</t>
  </si>
  <si>
    <t>q4</t>
  </si>
  <si>
    <t>COUNT of 55325</t>
  </si>
  <si>
    <t>q5</t>
  </si>
  <si>
    <t>Date of Sale - Month</t>
  </si>
  <si>
    <t>SUM of Total Sale</t>
  </si>
  <si>
    <t>Jan</t>
  </si>
  <si>
    <t>Feb</t>
  </si>
  <si>
    <t>q6</t>
  </si>
  <si>
    <t>q7 and q8</t>
  </si>
  <si>
    <t>Q9</t>
  </si>
  <si>
    <t>MAX of Unit Price</t>
  </si>
  <si>
    <t>SUM of Unit Price</t>
  </si>
  <si>
    <t>Q10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</si>
</sst>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m/d/yyyy h:mm:ss"/>
  </numFmts>
  <fonts count="5">
    <font>
      <sz val="10.0"/>
      <color rgb="FF000000"/>
      <name val="Arial"/>
      <scheme val="minor"/>
    </font>
    <font>
      <b/>
      <sz val="11.0"/>
      <color theme="1"/>
      <name val="Calibri"/>
    </font>
    <font>
      <color theme="1"/>
      <name val="Arial"/>
    </font>
    <font>
      <sz val="11.0"/>
      <color theme="1"/>
      <name val="Calibri"/>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horizontal="right" vertical="bottom"/>
    </xf>
    <xf borderId="0" fillId="0" fontId="3" numFmtId="164" xfId="0" applyAlignment="1" applyFont="1" applyNumberFormat="1">
      <alignment horizontal="right" vertical="bottom"/>
    </xf>
    <xf borderId="0" fillId="0" fontId="3" numFmtId="0" xfId="0" applyAlignment="1" applyFont="1">
      <alignment readingOrder="0" vertical="bottom"/>
    </xf>
    <xf borderId="0" fillId="0" fontId="4" numFmtId="0" xfId="0" applyFont="1"/>
    <xf borderId="0" fillId="0" fontId="4" numFmtId="0" xfId="0" applyAlignment="1" applyFont="1">
      <alignment readingOrder="0"/>
    </xf>
    <xf borderId="0" fillId="0" fontId="4" numFmtId="165"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microsoft.com/office/2007/relationships/slicerCache" Target="slicerCaches/slicerCache1.xml"/><Relationship Id="rId9" Type="http://schemas.openxmlformats.org/officeDocument/2006/relationships/pivotCacheDefinition" Target="pivotCache/pivotCacheDefinition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 Id="rId8" Type="http://schemas.openxmlformats.org/officeDocument/2006/relationships/pivotCacheDefinition" Target="pivotCache/pivotCacheDefinition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Units Sold vs Product</a:t>
            </a:r>
          </a:p>
        </c:rich>
      </c:tx>
      <c:overlay val="0"/>
    </c:title>
    <c:plotArea>
      <c:layout/>
      <c:barChart>
        <c:barDir val="col"/>
        <c:ser>
          <c:idx val="0"/>
          <c:order val="0"/>
          <c:tx>
            <c:strRef>
              <c:f>Sheet1!$B$94</c:f>
            </c:strRef>
          </c:tx>
          <c:spPr>
            <a:solidFill>
              <a:schemeClr val="accent1"/>
            </a:solidFill>
            <a:ln cmpd="sng">
              <a:noFill/>
            </a:ln>
          </c:spPr>
          <c:cat>
            <c:strRef>
              <c:f>Sheet1!$A$95:$A$100</c:f>
            </c:strRef>
          </c:cat>
          <c:val>
            <c:numRef>
              <c:f>Sheet1!$B$95:$B$100</c:f>
              <c:numCache/>
            </c:numRef>
          </c:val>
        </c:ser>
        <c:axId val="137565322"/>
        <c:axId val="1620898134"/>
      </c:barChart>
      <c:catAx>
        <c:axId val="1375653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20898134"/>
      </c:catAx>
      <c:valAx>
        <c:axId val="16208981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Units Sold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756532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Finance, HR, IT, Marketing and Sales</a:t>
            </a:r>
          </a:p>
        </c:rich>
      </c:tx>
      <c:overlay val="0"/>
    </c:title>
    <c:plotArea>
      <c:layout/>
      <c:lineChart>
        <c:ser>
          <c:idx val="0"/>
          <c:order val="0"/>
          <c:tx>
            <c:strRef>
              <c:f>Sheet1!$B$161:$B$162</c:f>
            </c:strRef>
          </c:tx>
          <c:spPr>
            <a:ln cmpd="sng">
              <a:solidFill>
                <a:srgbClr val="4285F4"/>
              </a:solidFill>
            </a:ln>
          </c:spPr>
          <c:marker>
            <c:symbol val="none"/>
          </c:marker>
          <c:cat>
            <c:strRef>
              <c:f>Sheet1!$A$163:$A$164</c:f>
            </c:strRef>
          </c:cat>
          <c:val>
            <c:numRef>
              <c:f>Sheet1!$B$163:$B$164</c:f>
              <c:numCache/>
            </c:numRef>
          </c:val>
          <c:smooth val="0"/>
        </c:ser>
        <c:ser>
          <c:idx val="1"/>
          <c:order val="1"/>
          <c:tx>
            <c:strRef>
              <c:f>Sheet1!$C$161:$C$162</c:f>
            </c:strRef>
          </c:tx>
          <c:spPr>
            <a:ln cmpd="sng">
              <a:solidFill>
                <a:srgbClr val="EA4335"/>
              </a:solidFill>
            </a:ln>
          </c:spPr>
          <c:marker>
            <c:symbol val="none"/>
          </c:marker>
          <c:cat>
            <c:strRef>
              <c:f>Sheet1!$A$163:$A$164</c:f>
            </c:strRef>
          </c:cat>
          <c:val>
            <c:numRef>
              <c:f>Sheet1!$C$163:$C$164</c:f>
              <c:numCache/>
            </c:numRef>
          </c:val>
          <c:smooth val="0"/>
        </c:ser>
        <c:ser>
          <c:idx val="2"/>
          <c:order val="2"/>
          <c:tx>
            <c:strRef>
              <c:f>Sheet1!$D$161:$D$162</c:f>
            </c:strRef>
          </c:tx>
          <c:spPr>
            <a:ln cmpd="sng">
              <a:solidFill>
                <a:srgbClr val="FBBC04"/>
              </a:solidFill>
            </a:ln>
          </c:spPr>
          <c:marker>
            <c:symbol val="none"/>
          </c:marker>
          <c:cat>
            <c:strRef>
              <c:f>Sheet1!$A$163:$A$164</c:f>
            </c:strRef>
          </c:cat>
          <c:val>
            <c:numRef>
              <c:f>Sheet1!$D$163:$D$164</c:f>
              <c:numCache/>
            </c:numRef>
          </c:val>
          <c:smooth val="0"/>
        </c:ser>
        <c:ser>
          <c:idx val="3"/>
          <c:order val="3"/>
          <c:tx>
            <c:strRef>
              <c:f>Sheet1!$E$161:$E$162</c:f>
            </c:strRef>
          </c:tx>
          <c:spPr>
            <a:ln cmpd="sng">
              <a:solidFill>
                <a:srgbClr val="34A853"/>
              </a:solidFill>
            </a:ln>
          </c:spPr>
          <c:marker>
            <c:symbol val="none"/>
          </c:marker>
          <c:cat>
            <c:strRef>
              <c:f>Sheet1!$A$163:$A$164</c:f>
            </c:strRef>
          </c:cat>
          <c:val>
            <c:numRef>
              <c:f>Sheet1!$E$163:$E$164</c:f>
              <c:numCache/>
            </c:numRef>
          </c:val>
          <c:smooth val="0"/>
        </c:ser>
        <c:ser>
          <c:idx val="4"/>
          <c:order val="4"/>
          <c:tx>
            <c:strRef>
              <c:f>Sheet1!$F$161:$F$162</c:f>
            </c:strRef>
          </c:tx>
          <c:spPr>
            <a:ln cmpd="sng">
              <a:solidFill>
                <a:srgbClr val="FF6D01"/>
              </a:solidFill>
            </a:ln>
          </c:spPr>
          <c:marker>
            <c:symbol val="none"/>
          </c:marker>
          <c:cat>
            <c:strRef>
              <c:f>Sheet1!$A$163:$A$164</c:f>
            </c:strRef>
          </c:cat>
          <c:val>
            <c:numRef>
              <c:f>Sheet1!$F$163:$F$164</c:f>
              <c:numCache/>
            </c:numRef>
          </c:val>
          <c:smooth val="0"/>
        </c:ser>
        <c:axId val="339318161"/>
        <c:axId val="1522934450"/>
      </c:lineChart>
      <c:catAx>
        <c:axId val="3393181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of Sale - 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522934450"/>
      </c:catAx>
      <c:valAx>
        <c:axId val="15229344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3931816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East, North, South and West</a:t>
            </a:r>
          </a:p>
        </c:rich>
      </c:tx>
      <c:overlay val="0"/>
    </c:title>
    <c:plotArea>
      <c:layout/>
      <c:barChart>
        <c:barDir val="col"/>
        <c:ser>
          <c:idx val="0"/>
          <c:order val="0"/>
          <c:tx>
            <c:strRef>
              <c:f>Sheet1!$A$198</c:f>
            </c:strRef>
          </c:tx>
          <c:spPr>
            <a:solidFill>
              <a:schemeClr val="accent1"/>
            </a:solidFill>
            <a:ln cmpd="sng">
              <a:noFill/>
            </a:ln>
          </c:spPr>
          <c:cat>
            <c:strRef>
              <c:f>Sheet1!$B$197:$F$197</c:f>
            </c:strRef>
          </c:cat>
          <c:val>
            <c:numRef>
              <c:f>Sheet1!$B$198:$F$198</c:f>
              <c:numCache/>
            </c:numRef>
          </c:val>
        </c:ser>
        <c:ser>
          <c:idx val="1"/>
          <c:order val="1"/>
          <c:tx>
            <c:strRef>
              <c:f>Sheet1!$A$199</c:f>
            </c:strRef>
          </c:tx>
          <c:spPr>
            <a:solidFill>
              <a:schemeClr val="accent2"/>
            </a:solidFill>
            <a:ln cmpd="sng">
              <a:noFill/>
            </a:ln>
          </c:spPr>
          <c:cat>
            <c:strRef>
              <c:f>Sheet1!$B$197:$F$197</c:f>
            </c:strRef>
          </c:cat>
          <c:val>
            <c:numRef>
              <c:f>Sheet1!$B$199:$F$199</c:f>
              <c:numCache/>
            </c:numRef>
          </c:val>
        </c:ser>
        <c:ser>
          <c:idx val="2"/>
          <c:order val="2"/>
          <c:tx>
            <c:strRef>
              <c:f>Sheet1!$A$200</c:f>
            </c:strRef>
          </c:tx>
          <c:spPr>
            <a:solidFill>
              <a:schemeClr val="accent3"/>
            </a:solidFill>
            <a:ln cmpd="sng">
              <a:noFill/>
            </a:ln>
          </c:spPr>
          <c:cat>
            <c:strRef>
              <c:f>Sheet1!$B$197:$F$197</c:f>
            </c:strRef>
          </c:cat>
          <c:val>
            <c:numRef>
              <c:f>Sheet1!$B$200:$F$200</c:f>
              <c:numCache/>
            </c:numRef>
          </c:val>
        </c:ser>
        <c:ser>
          <c:idx val="3"/>
          <c:order val="3"/>
          <c:tx>
            <c:strRef>
              <c:f>Sheet1!$A$201</c:f>
            </c:strRef>
          </c:tx>
          <c:spPr>
            <a:solidFill>
              <a:schemeClr val="accent4"/>
            </a:solidFill>
            <a:ln cmpd="sng">
              <a:noFill/>
            </a:ln>
          </c:spPr>
          <c:cat>
            <c:strRef>
              <c:f>Sheet1!$B$197:$F$197</c:f>
            </c:strRef>
          </c:cat>
          <c:val>
            <c:numRef>
              <c:f>Sheet1!$B$201:$F$201</c:f>
              <c:numCache/>
            </c:numRef>
          </c:val>
        </c:ser>
        <c:axId val="1052160645"/>
        <c:axId val="1883930962"/>
      </c:barChart>
      <c:catAx>
        <c:axId val="10521606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Region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83930962"/>
      </c:catAx>
      <c:valAx>
        <c:axId val="18839309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52160645"/>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352425</xdr:colOff>
      <xdr:row>91</xdr:row>
      <xdr:rowOff>190500</xdr:rowOff>
    </xdr:from>
    <xdr:ext cx="3829050" cy="19526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66675</xdr:colOff>
      <xdr:row>165</xdr:row>
      <xdr:rowOff>85725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66675</xdr:colOff>
      <xdr:row>202</xdr:row>
      <xdr:rowOff>66675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342900</xdr:colOff>
      <xdr:row>165</xdr:row>
      <xdr:rowOff>133350</xdr:rowOff>
    </xdr:from>
    <xdr:ext cx="2857500" cy="2857500"/>
    <mc:AlternateContent>
      <mc:Choice Requires="sle15">
        <xdr:graphicFrame>
          <xdr:nvGraphicFramePr>
            <xdr:cNvPr id="1" name="Region_1"/>
            <xdr:cNvGraphicFramePr/>
          </xdr:nvGraphicFramePr>
          <xdr:xfrm>
            <a:off x="0" y="0"/>
            <a:ext cx="0" cy="0"/>
          </xdr:xfrm>
          <a:graphic>
            <a:graphicData uri="http://schemas.microsoft.com/office/drawing/2010/slicer">
              <x3Unk:slicer name="Region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23:I73" sheet="Sheet1"/>
  </cacheSource>
  <cacheFields>
    <cacheField name="E1021">
      <sharedItems containsBlank="1" containsMixedTypes="1" containsNumber="1" containsInteger="1">
        <s v="E1022"/>
        <s v="E1023"/>
        <s v="E1024"/>
        <s v="E1025"/>
        <s v="E1026"/>
        <s v="E1027"/>
        <s v="E1028"/>
        <s v="E1029"/>
        <s v="E1030"/>
        <s v="E1031"/>
        <s v="E1032"/>
        <s v="E1033"/>
        <s v="E1034"/>
        <s v="E1035"/>
        <s v="E1036"/>
        <s v="E1037"/>
        <s v="E1038"/>
        <s v="E1039"/>
        <s v="E1040"/>
        <s v="E1041"/>
        <s v="E1042"/>
        <s v="E1043"/>
        <s v="E1044"/>
        <s v="E1045"/>
        <s v="E1046"/>
        <s v="E1047"/>
        <s v="E1048"/>
        <s v="E1049"/>
        <m/>
        <n v="1.0"/>
        <n v="2.0"/>
        <n v="3.0"/>
        <n v="4.0"/>
        <n v="5.0"/>
        <n v="6.0"/>
        <n v="7.0"/>
        <n v="8.0"/>
        <n v="9.0"/>
        <n v="10.0"/>
      </sharedItems>
    </cacheField>
    <cacheField name="Ivy">
      <sharedItems containsBlank="1" containsMixedTypes="1" containsNumber="1" containsInteger="1">
        <s v="Frank"/>
        <s v="Eve"/>
        <s v="Bob"/>
        <s v="Charlie"/>
        <s v="Ivy"/>
        <s v="Alice"/>
        <s v="David"/>
        <s v="Grace"/>
        <s v="Jack"/>
        <m/>
        <s v="Sales"/>
        <s v="Tablet"/>
        <s v="South"/>
        <n v="3168.0"/>
        <n v="278784.0"/>
        <n v="20.0"/>
        <n v="95.0"/>
        <n v="99.0"/>
        <n v="97.0"/>
        <n v="94.0"/>
      </sharedItems>
    </cacheField>
    <cacheField name="IT" numFmtId="0">
      <sharedItems containsBlank="1">
        <s v="Finance"/>
        <s v="IT"/>
        <s v="Sales"/>
        <s v="HR"/>
        <s v="Marketing"/>
        <m/>
      </sharedItems>
    </cacheField>
    <cacheField name="Tablet" numFmtId="0">
      <sharedItems containsBlank="1">
        <s v="Phone"/>
        <s v="Monitor"/>
        <s v="Tablet"/>
        <s v="Laptop"/>
        <s v="Keyboard"/>
        <m/>
      </sharedItems>
    </cacheField>
    <cacheField name="North" numFmtId="0">
      <sharedItems containsBlank="1">
        <s v="North"/>
        <s v="South"/>
        <s v="East"/>
        <s v="West"/>
        <m/>
      </sharedItems>
    </cacheField>
    <cacheField name="25" numFmtId="0">
      <sharedItems containsString="0" containsBlank="1" containsNumber="1" containsInteger="1">
        <n v="43.0"/>
        <n v="18.0"/>
        <n v="2.0"/>
        <n v="84.0"/>
        <n v="12.0"/>
        <n v="65.0"/>
        <n v="30.0"/>
        <n v="70.0"/>
        <n v="87.0"/>
        <n v="33.0"/>
        <n v="46.0"/>
        <n v="14.0"/>
        <n v="59.0"/>
        <n v="71.0"/>
        <n v="80.0"/>
        <n v="57.0"/>
        <n v="37.0"/>
        <n v="24.0"/>
        <n v="99.0"/>
        <n v="82.0"/>
        <n v="97.0"/>
        <n v="94.0"/>
        <n v="63.0"/>
        <n v="64.0"/>
        <n v="83.0"/>
        <m/>
      </sharedItems>
    </cacheField>
    <cacheField name="2213" numFmtId="0">
      <sharedItems containsString="0" containsBlank="1" containsNumber="1" containsInteger="1">
        <n v="1518.0"/>
        <n v="1042.0"/>
        <n v="2178.0"/>
        <n v="4439.0"/>
        <n v="1148.0"/>
        <n v="4067.0"/>
        <n v="3294.0"/>
        <n v="2269.0"/>
        <n v="2832.0"/>
        <n v="3414.0"/>
        <n v="1579.0"/>
        <n v="1342.0"/>
        <n v="1297.0"/>
        <n v="4518.0"/>
        <n v="2925.0"/>
        <n v="4951.0"/>
        <n v="1757.0"/>
        <n v="4412.0"/>
        <n v="1396.0"/>
        <n v="4050.0"/>
        <n v="3780.0"/>
        <n v="1075.0"/>
        <n v="2152.0"/>
        <n v="4983.0"/>
        <n v="4591.0"/>
        <n v="1793.0"/>
        <n v="3764.0"/>
        <n v="4055.0"/>
        <m/>
      </sharedItems>
    </cacheField>
    <cacheField name="2023-01-22 0:00:00" numFmtId="164">
      <sharedItems containsDate="1" containsString="0" containsBlank="1">
        <d v="2023-01-23T00:00:00Z"/>
        <d v="2023-01-24T00:00:00Z"/>
        <d v="2023-01-25T00:00:00Z"/>
        <d v="2023-01-26T00:00:00Z"/>
        <d v="2023-01-27T00:00:00Z"/>
        <d v="2023-01-28T00:00:00Z"/>
        <d v="2023-01-29T00:00:00Z"/>
        <d v="2023-01-30T00:00:00Z"/>
        <d v="2023-01-31T00:00:00Z"/>
        <d v="2023-02-01T00:00:00Z"/>
        <d v="2023-02-02T00:00:00Z"/>
        <d v="2023-02-03T00:00:00Z"/>
        <d v="2023-02-04T00:00:00Z"/>
        <d v="2023-02-05T00:00:00Z"/>
        <d v="2023-02-06T00:00:00Z"/>
        <d v="2023-02-07T00:00:00Z"/>
        <d v="2023-02-08T00:00:00Z"/>
        <d v="2023-02-09T00:00:00Z"/>
        <d v="2023-02-10T00:00:00Z"/>
        <d v="2023-02-11T00:00:00Z"/>
        <d v="2023-02-12T00:00:00Z"/>
        <d v="2023-02-13T00:00:00Z"/>
        <d v="2023-02-14T00:00:00Z"/>
        <d v="2023-02-15T00:00:00Z"/>
        <d v="2023-02-16T00:00:00Z"/>
        <d v="2023-02-17T00:00:00Z"/>
        <d v="2023-02-18T00:00:00Z"/>
        <d v="2023-02-19T00:00:00Z"/>
        <m/>
      </sharedItems>
    </cacheField>
    <cacheField name="55325" numFmtId="0">
      <sharedItems containsString="0" containsBlank="1" containsNumber="1" containsInteger="1">
        <n v="65274.0"/>
        <n v="18756.0"/>
        <n v="4356.0"/>
        <n v="372876.0"/>
        <n v="13776.0"/>
        <n v="264355.0"/>
        <n v="98820.0"/>
        <n v="158830.0"/>
        <n v="246384.0"/>
        <n v="112662.0"/>
        <n v="72634.0"/>
        <n v="18788.0"/>
        <n v="76523.0"/>
        <n v="320778.0"/>
        <n v="234000.0"/>
        <n v="282207.0"/>
        <n v="65009.0"/>
        <n v="105888.0"/>
        <n v="19544.0"/>
        <n v="263250.0"/>
        <n v="374220.0"/>
        <n v="106425.0"/>
        <n v="176464.0"/>
        <n v="483351.0"/>
        <n v="431554.0"/>
        <n v="112959.0"/>
        <n v="240896.0"/>
        <n v="336565.0"/>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51" sheet="Sheet1"/>
  </cacheSource>
  <cacheFields>
    <cacheField name=" Employee ID" numFmtId="0">
      <sharedItems>
        <s v="E1000"/>
        <s v="E1001"/>
        <s v="E1002"/>
        <s v="E1003"/>
        <s v="E1004"/>
        <s v="E1005"/>
        <s v="E1006"/>
        <s v="E1007"/>
        <s v="E1008"/>
        <s v="E1009"/>
        <s v="E1010"/>
        <s v="E1011"/>
        <s v="E1012"/>
        <s v="E1013"/>
        <s v="E1014"/>
        <s v="E1015"/>
        <s v="E1016"/>
        <s v="E1017"/>
        <s v="E1018"/>
        <s v="E1019"/>
        <s v="E1020"/>
        <s v="E1021"/>
        <s v="E1022"/>
        <s v="E1023"/>
        <s v="E1024"/>
        <s v="E1025"/>
        <s v="E1026"/>
        <s v="E1027"/>
        <s v="E1028"/>
        <s v="E1029"/>
        <s v="E1030"/>
        <s v="E1031"/>
        <s v="E1032"/>
        <s v="E1033"/>
        <s v="E1034"/>
        <s v="E1035"/>
        <s v="E1036"/>
        <s v="E1037"/>
        <s v="E1038"/>
        <s v="E1039"/>
        <s v="E1040"/>
        <s v="E1041"/>
        <s v="E1042"/>
        <s v="E1043"/>
        <s v="E1044"/>
        <s v="E1045"/>
        <s v="E1046"/>
        <s v="E1047"/>
        <s v="E1048"/>
        <s v="E1049"/>
      </sharedItems>
    </cacheField>
    <cacheField name="Name" numFmtId="0">
      <sharedItems>
        <s v="Grace"/>
        <s v="Frank"/>
        <s v="David"/>
        <s v="Alice"/>
        <s v="Jack"/>
        <s v="Hannah"/>
        <s v="Ivy"/>
        <s v="Eve"/>
        <s v="Bob"/>
        <s v="Charlie"/>
      </sharedItems>
    </cacheField>
    <cacheField name="Department" numFmtId="0">
      <sharedItems>
        <s v="Finance"/>
        <s v="Sales"/>
        <s v="HR"/>
        <s v="Marketing"/>
        <s v="IT"/>
      </sharedItems>
    </cacheField>
    <cacheField name="Product" numFmtId="0">
      <sharedItems>
        <s v="Phone"/>
        <s v="Tablet"/>
        <s v="Monitor"/>
        <s v="Laptop"/>
        <s v="Keyboard"/>
      </sharedItems>
    </cacheField>
    <cacheField name="Region" numFmtId="0">
      <sharedItems>
        <s v="West"/>
        <s v="South"/>
        <s v="North"/>
        <s v="East"/>
      </sharedItems>
    </cacheField>
    <cacheField name="Units Sold" numFmtId="0">
      <sharedItems containsSemiMixedTypes="0" containsString="0" containsNumber="1" containsInteger="1">
        <n v="52.0"/>
        <n v="20.0"/>
        <n v="74.0"/>
        <n v="12.0"/>
        <n v="24.0"/>
        <n v="26.0"/>
        <n v="39.0"/>
        <n v="36.0"/>
        <n v="88.0"/>
        <n v="95.0"/>
        <n v="16.0"/>
        <n v="11.0"/>
        <n v="28.0"/>
        <n v="76.0"/>
        <n v="47.0"/>
        <n v="60.0"/>
        <n v="62.0"/>
        <n v="57.0"/>
        <n v="32.0"/>
        <n v="64.0"/>
        <n v="25.0"/>
        <n v="43.0"/>
        <n v="18.0"/>
        <n v="2.0"/>
        <n v="84.0"/>
        <n v="65.0"/>
        <n v="30.0"/>
        <n v="70.0"/>
        <n v="87.0"/>
        <n v="33.0"/>
        <n v="46.0"/>
        <n v="14.0"/>
        <n v="59.0"/>
        <n v="71.0"/>
        <n v="80.0"/>
        <n v="37.0"/>
        <n v="99.0"/>
        <n v="82.0"/>
        <n v="97.0"/>
        <n v="94.0"/>
        <n v="63.0"/>
        <n v="83.0"/>
      </sharedItems>
    </cacheField>
    <cacheField name="Unit Price" numFmtId="0">
      <sharedItems containsSemiMixedTypes="0" containsString="0" containsNumber="1" containsInteger="1">
        <n v="3890.0"/>
        <n v="1050.0"/>
        <n v="1334.0"/>
        <n v="2991.0"/>
        <n v="1326.0"/>
        <n v="2871.0"/>
        <n v="4625.0"/>
        <n v="2257.0"/>
        <n v="3168.0"/>
        <n v="2360.0"/>
        <n v="4264.0"/>
        <n v="4003.0"/>
        <n v="4411.0"/>
        <n v="4104.0"/>
        <n v="3342.0"/>
        <n v="1647.0"/>
        <n v="2045.0"/>
        <n v="3073.0"/>
        <n v="2641.0"/>
        <n v="1582.0"/>
        <n v="3773.0"/>
        <n v="2213.0"/>
        <n v="1518.0"/>
        <n v="1042.0"/>
        <n v="2178.0"/>
        <n v="4439.0"/>
        <n v="1148.0"/>
        <n v="4067.0"/>
        <n v="3294.0"/>
        <n v="2269.0"/>
        <n v="2832.0"/>
        <n v="3414.0"/>
        <n v="1579.0"/>
        <n v="1342.0"/>
        <n v="1297.0"/>
        <n v="4518.0"/>
        <n v="2925.0"/>
        <n v="4951.0"/>
        <n v="1757.0"/>
        <n v="4412.0"/>
        <n v="1396.0"/>
        <n v="4050.0"/>
        <n v="3780.0"/>
        <n v="1075.0"/>
        <n v="2152.0"/>
        <n v="4983.0"/>
        <n v="4591.0"/>
        <n v="1793.0"/>
        <n v="3764.0"/>
        <n v="4055.0"/>
      </sharedItems>
    </cacheField>
    <cacheField name="Date of Sale" numFmtId="164">
      <sharedItems containsSemiMixedTypes="0" containsDate="1" containsString="0">
        <d v="2023-01-01T00:00:00Z"/>
        <d v="2023-01-02T00:00:00Z"/>
        <d v="2023-01-03T00:00:00Z"/>
        <d v="2023-01-04T00:00:00Z"/>
        <d v="2023-01-05T00:00:00Z"/>
        <d v="2023-01-06T00:00:00Z"/>
        <d v="2023-01-07T00:00:00Z"/>
        <d v="2023-01-08T00:00:00Z"/>
        <d v="2023-01-09T00:00:00Z"/>
        <d v="2023-01-10T00:00:00Z"/>
        <d v="2023-01-11T00:00:00Z"/>
        <d v="2023-01-12T00:00:00Z"/>
        <d v="2023-01-13T00:00:00Z"/>
        <d v="2023-01-14T00:00:00Z"/>
        <d v="2023-01-15T00:00:00Z"/>
        <d v="2023-01-16T00:00:00Z"/>
        <d v="2023-01-17T00:00:00Z"/>
        <d v="2023-01-18T00:00:00Z"/>
        <d v="2023-01-19T00:00:00Z"/>
        <d v="2023-01-20T00:00:00Z"/>
        <d v="2023-01-21T00:00:00Z"/>
        <d v="2023-01-22T00:00:00Z"/>
        <d v="2023-01-23T00:00:00Z"/>
        <d v="2023-01-24T00:00:00Z"/>
        <d v="2023-01-25T00:00:00Z"/>
        <d v="2023-01-26T00:00:00Z"/>
        <d v="2023-01-27T00:00:00Z"/>
        <d v="2023-01-28T00:00:00Z"/>
        <d v="2023-01-29T00:00:00Z"/>
        <d v="2023-01-30T00:00:00Z"/>
        <d v="2023-01-31T00:00:00Z"/>
        <d v="2023-02-01T00:00:00Z"/>
        <d v="2023-02-02T00:00:00Z"/>
        <d v="2023-02-03T00:00:00Z"/>
        <d v="2023-02-04T00:00:00Z"/>
        <d v="2023-02-05T00:00:00Z"/>
        <d v="2023-02-06T00:00:00Z"/>
        <d v="2023-02-07T00:00:00Z"/>
        <d v="2023-02-08T00:00:00Z"/>
        <d v="2023-02-09T00:00:00Z"/>
        <d v="2023-02-10T00:00:00Z"/>
        <d v="2023-02-11T00:00:00Z"/>
        <d v="2023-02-12T00:00:00Z"/>
        <d v="2023-02-13T00:00:00Z"/>
        <d v="2023-02-14T00:00:00Z"/>
        <d v="2023-02-15T00:00:00Z"/>
        <d v="2023-02-16T00:00:00Z"/>
        <d v="2023-02-17T00:00:00Z"/>
        <d v="2023-02-18T00:00:00Z"/>
        <d v="2023-02-19T00:00:00Z"/>
      </sharedItems>
    </cacheField>
    <cacheField name="Total Sale" numFmtId="0">
      <sharedItems containsSemiMixedTypes="0" containsString="0" containsNumber="1" containsInteger="1">
        <n v="202280.0"/>
        <n v="21000.0"/>
        <n v="98716.0"/>
        <n v="35892.0"/>
        <n v="31824.0"/>
        <n v="74646.0"/>
        <n v="180375.0"/>
        <n v="81252.0"/>
        <n v="278784.0"/>
        <n v="224200.0"/>
        <n v="68224.0"/>
        <n v="44033.0"/>
        <n v="123508.0"/>
        <n v="311904.0"/>
        <n v="247308.0"/>
        <n v="77409.0"/>
        <n v="122700.0"/>
        <n v="190526.0"/>
        <n v="150537.0"/>
        <n v="50624.0"/>
        <n v="241472.0"/>
        <n v="55325.0"/>
        <n v="65274.0"/>
        <n v="18756.0"/>
        <n v="4356.0"/>
        <n v="372876.0"/>
        <n v="13776.0"/>
        <n v="264355.0"/>
        <n v="98820.0"/>
        <n v="158830.0"/>
        <n v="246384.0"/>
        <n v="112662.0"/>
        <n v="72634.0"/>
        <n v="18788.0"/>
        <n v="76523.0"/>
        <n v="320778.0"/>
        <n v="234000.0"/>
        <n v="282207.0"/>
        <n v="65009.0"/>
        <n v="105888.0"/>
        <n v="19544.0"/>
        <n v="263250.0"/>
        <n v="374220.0"/>
        <n v="106425.0"/>
        <n v="176464.0"/>
        <n v="483351.0"/>
        <n v="431554.0"/>
        <n v="112959.0"/>
        <n v="240896.0"/>
        <n v="336565.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51" sheet="Sheet1"/>
  </cacheSource>
  <cacheFields>
    <cacheField name=" Employee ID" numFmtId="0">
      <sharedItems>
        <s v="E1000"/>
        <s v="E1001"/>
        <s v="E1002"/>
        <s v="E1003"/>
        <s v="E1004"/>
        <s v="E1005"/>
        <s v="E1006"/>
        <s v="E1007"/>
        <s v="E1008"/>
        <s v="E1009"/>
        <s v="E1010"/>
        <s v="E1011"/>
        <s v="E1012"/>
        <s v="E1013"/>
        <s v="E1014"/>
        <s v="E1015"/>
        <s v="E1016"/>
        <s v="E1017"/>
        <s v="E1018"/>
        <s v="E1019"/>
        <s v="E1020"/>
        <s v="E1021"/>
        <s v="E1022"/>
        <s v="E1023"/>
        <s v="E1024"/>
        <s v="E1025"/>
        <s v="E1026"/>
        <s v="E1027"/>
        <s v="E1028"/>
        <s v="E1029"/>
        <s v="E1030"/>
        <s v="E1031"/>
        <s v="E1032"/>
        <s v="E1033"/>
        <s v="E1034"/>
        <s v="E1035"/>
        <s v="E1036"/>
        <s v="E1037"/>
        <s v="E1038"/>
        <s v="E1039"/>
        <s v="E1040"/>
        <s v="E1041"/>
        <s v="E1042"/>
        <s v="E1043"/>
        <s v="E1044"/>
        <s v="E1045"/>
        <s v="E1046"/>
        <s v="E1047"/>
        <s v="E1048"/>
        <s v="E1049"/>
      </sharedItems>
    </cacheField>
    <cacheField name="Name" numFmtId="0">
      <sharedItems>
        <s v="Grace"/>
        <s v="Frank"/>
        <s v="David"/>
        <s v="Alice"/>
        <s v="Jack"/>
        <s v="Hannah"/>
        <s v="Ivy"/>
        <s v="Eve"/>
        <s v="Bob"/>
        <s v="Charlie"/>
      </sharedItems>
    </cacheField>
    <cacheField name="Department" numFmtId="0">
      <sharedItems>
        <s v="Finance"/>
        <s v="Sales"/>
        <s v="HR"/>
        <s v="Marketing"/>
        <s v="IT"/>
      </sharedItems>
    </cacheField>
    <cacheField name="Product" numFmtId="0">
      <sharedItems>
        <s v="Phone"/>
        <s v="Tablet"/>
        <s v="Monitor"/>
        <s v="Laptop"/>
        <s v="Keyboard"/>
      </sharedItems>
    </cacheField>
    <cacheField name="Region" numFmtId="0">
      <sharedItems>
        <s v="West"/>
        <s v="South"/>
        <s v="North"/>
        <s v="East"/>
      </sharedItems>
    </cacheField>
    <cacheField name="Units Sold" numFmtId="0">
      <sharedItems containsSemiMixedTypes="0" containsString="0" containsNumber="1" containsInteger="1">
        <n v="52.0"/>
        <n v="20.0"/>
        <n v="74.0"/>
        <n v="12.0"/>
        <n v="24.0"/>
        <n v="26.0"/>
        <n v="39.0"/>
        <n v="36.0"/>
        <n v="88.0"/>
        <n v="95.0"/>
        <n v="16.0"/>
        <n v="11.0"/>
        <n v="28.0"/>
        <n v="76.0"/>
        <n v="47.0"/>
        <n v="60.0"/>
        <n v="62.0"/>
        <n v="57.0"/>
        <n v="32.0"/>
        <n v="64.0"/>
        <n v="25.0"/>
        <n v="43.0"/>
        <n v="18.0"/>
        <n v="2.0"/>
        <n v="84.0"/>
        <n v="65.0"/>
        <n v="30.0"/>
        <n v="70.0"/>
        <n v="87.0"/>
        <n v="33.0"/>
        <n v="46.0"/>
        <n v="14.0"/>
        <n v="59.0"/>
        <n v="71.0"/>
        <n v="80.0"/>
        <n v="37.0"/>
        <n v="99.0"/>
        <n v="82.0"/>
        <n v="97.0"/>
        <n v="94.0"/>
        <n v="63.0"/>
        <n v="83.0"/>
      </sharedItems>
    </cacheField>
    <cacheField name="Unit Price" numFmtId="0">
      <sharedItems containsSemiMixedTypes="0" containsString="0" containsNumber="1" containsInteger="1">
        <n v="3890.0"/>
        <n v="1050.0"/>
        <n v="1334.0"/>
        <n v="2991.0"/>
        <n v="1326.0"/>
        <n v="2871.0"/>
        <n v="4625.0"/>
        <n v="2257.0"/>
        <n v="3168.0"/>
        <n v="2360.0"/>
        <n v="4264.0"/>
        <n v="4003.0"/>
        <n v="4411.0"/>
        <n v="4104.0"/>
        <n v="3342.0"/>
        <n v="1647.0"/>
        <n v="2045.0"/>
        <n v="3073.0"/>
        <n v="2641.0"/>
        <n v="1582.0"/>
        <n v="3773.0"/>
        <n v="2213.0"/>
        <n v="1518.0"/>
        <n v="1042.0"/>
        <n v="2178.0"/>
        <n v="4439.0"/>
        <n v="1148.0"/>
        <n v="4067.0"/>
        <n v="3294.0"/>
        <n v="2269.0"/>
        <n v="2832.0"/>
        <n v="3414.0"/>
        <n v="1579.0"/>
        <n v="1342.0"/>
        <n v="1297.0"/>
        <n v="4518.0"/>
        <n v="2925.0"/>
        <n v="4951.0"/>
        <n v="1757.0"/>
        <n v="4412.0"/>
        <n v="1396.0"/>
        <n v="4050.0"/>
        <n v="3780.0"/>
        <n v="1075.0"/>
        <n v="2152.0"/>
        <n v="4983.0"/>
        <n v="4591.0"/>
        <n v="1793.0"/>
        <n v="3764.0"/>
        <n v="4055.0"/>
      </sharedItems>
    </cacheField>
    <cacheField name="Date of Sale" numFmtId="164">
      <sharedItems containsSemiMixedTypes="0" containsNonDate="0" containsDate="1" containsString="0">
        <d v="2023-01-01T00:00:00Z"/>
        <d v="2023-01-02T00:00:00Z"/>
        <d v="2023-01-03T00:00:00Z"/>
        <d v="2023-01-04T00:00:00Z"/>
        <d v="2023-01-05T00:00:00Z"/>
        <d v="2023-01-06T00:00:00Z"/>
        <d v="2023-01-07T00:00:00Z"/>
        <d v="2023-01-08T00:00:00Z"/>
        <d v="2023-01-09T00:00:00Z"/>
        <d v="2023-01-10T00:00:00Z"/>
        <d v="2023-01-11T00:00:00Z"/>
        <d v="2023-01-12T00:00:00Z"/>
        <d v="2023-01-13T00:00:00Z"/>
        <d v="2023-01-14T00:00:00Z"/>
        <d v="2023-01-15T00:00:00Z"/>
        <d v="2023-01-16T00:00:00Z"/>
        <d v="2023-01-17T00:00:00Z"/>
        <d v="2023-01-18T00:00:00Z"/>
        <d v="2023-01-19T00:00:00Z"/>
        <d v="2023-01-20T00:00:00Z"/>
        <d v="2023-01-21T00:00:00Z"/>
        <d v="2023-01-22T00:00:00Z"/>
        <d v="2023-01-23T00:00:00Z"/>
        <d v="2023-01-24T00:00:00Z"/>
        <d v="2023-01-25T00:00:00Z"/>
        <d v="2023-01-26T00:00:00Z"/>
        <d v="2023-01-27T00:00:00Z"/>
        <d v="2023-01-28T00:00:00Z"/>
        <d v="2023-01-29T00:00:00Z"/>
        <d v="2023-01-30T00:00:00Z"/>
        <d v="2023-01-31T00:00:00Z"/>
        <d v="2023-02-01T00:00:00Z"/>
        <d v="2023-02-02T00:00:00Z"/>
        <d v="2023-02-03T00:00:00Z"/>
        <d v="2023-02-04T00:00:00Z"/>
        <d v="2023-02-05T00:00:00Z"/>
        <d v="2023-02-06T00:00:00Z"/>
        <d v="2023-02-07T00:00:00Z"/>
        <d v="2023-02-08T00:00:00Z"/>
        <d v="2023-02-09T00:00:00Z"/>
        <d v="2023-02-10T00:00:00Z"/>
        <d v="2023-02-11T00:00:00Z"/>
        <d v="2023-02-12T00:00:00Z"/>
        <d v="2023-02-13T00:00:00Z"/>
        <d v="2023-02-14T00:00:00Z"/>
        <d v="2023-02-15T00:00:00Z"/>
        <d v="2023-02-16T00:00:00Z"/>
        <d v="2023-02-17T00:00:00Z"/>
        <d v="2023-02-18T00:00:00Z"/>
        <d v="2023-02-19T00:00:00Z"/>
      </sharedItems>
      <fieldGroup par="9"/>
    </cacheField>
    <cacheField name="Total Sale" numFmtId="0">
      <sharedItems containsSemiMixedTypes="0" containsString="0" containsNumber="1" containsInteger="1">
        <n v="202280.0"/>
        <n v="21000.0"/>
        <n v="98716.0"/>
        <n v="35892.0"/>
        <n v="31824.0"/>
        <n v="74646.0"/>
        <n v="180375.0"/>
        <n v="81252.0"/>
        <n v="278784.0"/>
        <n v="224200.0"/>
        <n v="68224.0"/>
        <n v="44033.0"/>
        <n v="123508.0"/>
        <n v="311904.0"/>
        <n v="247308.0"/>
        <n v="77409.0"/>
        <n v="122700.0"/>
        <n v="190526.0"/>
        <n v="150537.0"/>
        <n v="50624.0"/>
        <n v="241472.0"/>
        <n v="55325.0"/>
        <n v="65274.0"/>
        <n v="18756.0"/>
        <n v="4356.0"/>
        <n v="372876.0"/>
        <n v="13776.0"/>
        <n v="264355.0"/>
        <n v="98820.0"/>
        <n v="158830.0"/>
        <n v="246384.0"/>
        <n v="112662.0"/>
        <n v="72634.0"/>
        <n v="18788.0"/>
        <n v="76523.0"/>
        <n v="320778.0"/>
        <n v="234000.0"/>
        <n v="282207.0"/>
        <n v="65009.0"/>
        <n v="105888.0"/>
        <n v="19544.0"/>
        <n v="263250.0"/>
        <n v="374220.0"/>
        <n v="106425.0"/>
        <n v="176464.0"/>
        <n v="483351.0"/>
        <n v="431554.0"/>
        <n v="112959.0"/>
        <n v="240896.0"/>
        <n v="336565.0"/>
      </sharedItems>
    </cacheField>
    <cacheField name="date of sale2" databaseField="0">
      <fieldGroup base="7">
        <rangePr autoStart="0" autoEnd="0" groupBy="months" startDate="2023-01-01T00:00:00Z" endDate="2023-02-20T00:00:00Z"/>
        <groupItems>
          <s v="&lt;01/01/23"/>
          <s v="Jan"/>
          <s v="Feb"/>
          <s v="Mar"/>
          <s v="Apr"/>
          <s v="May"/>
          <s v="Jun"/>
          <s v="Jul"/>
          <s v="Aug"/>
          <s v="Sep"/>
          <s v="Oct"/>
          <s v="Nov"/>
          <s v="Dec"/>
          <s v="&gt;02/20/23"/>
        </groupItems>
      </fieldGroup>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Sheet1" cacheId="0" dataCaption="" compact="0" compactData="0">
  <location ref="A75:B82" firstHeaderRow="0" firstDataRow="1" firstDataCol="0"/>
  <pivotFields>
    <pivotField name="E102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Iv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IT" axis="axisRow" compact="0" outline="0" multipleItemSelectionAllowed="1" showAll="0" sortType="ascending">
      <items>
        <item x="5"/>
        <item x="0"/>
        <item x="3"/>
        <item x="1"/>
        <item x="4"/>
        <item x="2"/>
        <item t="default"/>
      </items>
    </pivotField>
    <pivotField name="Tablet" compact="0" outline="0" multipleItemSelectionAllowed="1" showAll="0">
      <items>
        <item x="0"/>
        <item x="1"/>
        <item x="2"/>
        <item x="3"/>
        <item x="4"/>
        <item x="5"/>
        <item t="default"/>
      </items>
    </pivotField>
    <pivotField name="North" compact="0" outline="0" multipleItemSelectionAllowed="1" showAll="0">
      <items>
        <item x="0"/>
        <item x="1"/>
        <item x="2"/>
        <item x="3"/>
        <item x="4"/>
        <item t="default"/>
      </items>
    </pivotField>
    <pivotField name="2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221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23-01-22 0:00:00"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55325"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2"/>
  </rowFields>
  <dataFields>
    <dataField name="SUM of 55325" fld="8" baseField="0"/>
  </dataFields>
</pivotTableDefinition>
</file>

<file path=xl/pivotTables/pivotTable2.xml><?xml version="1.0" encoding="utf-8"?>
<pivotTableDefinition xmlns="http://schemas.openxmlformats.org/spreadsheetml/2006/main" name="Sheet1 2" cacheId="0" dataCaption="" compact="0" compactData="0">
  <location ref="A85:B91" firstHeaderRow="0" firstDataRow="1" firstDataCol="0"/>
  <pivotFields>
    <pivotField name="E102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Iv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IT" compact="0" outline="0" multipleItemSelectionAllowed="1" showAll="0">
      <items>
        <item x="0"/>
        <item x="1"/>
        <item x="2"/>
        <item x="3"/>
        <item x="4"/>
        <item x="5"/>
        <item t="default"/>
      </items>
    </pivotField>
    <pivotField name="Tablet" compact="0" outline="0" multipleItemSelectionAllowed="1" showAll="0">
      <items>
        <item x="0"/>
        <item x="1"/>
        <item x="2"/>
        <item x="3"/>
        <item x="4"/>
        <item x="5"/>
        <item t="default"/>
      </items>
    </pivotField>
    <pivotField name="North" axis="axisRow" compact="0" outline="0" multipleItemSelectionAllowed="1" showAll="0" sortType="ascending">
      <items>
        <item x="4"/>
        <item x="2"/>
        <item x="0"/>
        <item x="1"/>
        <item x="3"/>
        <item t="default"/>
      </items>
    </pivotField>
    <pivotField name="2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2213"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23-01-22 0:00:00"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5532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4"/>
  </rowFields>
  <dataFields>
    <dataField name="AVERAGE of 2213" fld="6" subtotal="average" baseField="0"/>
  </dataFields>
</pivotTableDefinition>
</file>

<file path=xl/pivotTables/pivotTable3.xml><?xml version="1.0" encoding="utf-8"?>
<pivotTableDefinition xmlns="http://schemas.openxmlformats.org/spreadsheetml/2006/main" name="Sheet1 3" cacheId="0" dataCaption="" compact="0" compactData="0">
  <location ref="A94:B101" firstHeaderRow="0" firstDataRow="1" firstDataCol="0"/>
  <pivotFields>
    <pivotField name="E102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Iv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IT" compact="0" outline="0" multipleItemSelectionAllowed="1" showAll="0">
      <items>
        <item x="0"/>
        <item x="1"/>
        <item x="2"/>
        <item x="3"/>
        <item x="4"/>
        <item x="5"/>
        <item t="default"/>
      </items>
    </pivotField>
    <pivotField name="Tablet" axis="axisRow" compact="0" outline="0" multipleItemSelectionAllowed="1" showAll="0" sortType="ascending">
      <items>
        <item x="5"/>
        <item x="4"/>
        <item x="3"/>
        <item x="1"/>
        <item x="0"/>
        <item x="2"/>
        <item t="default"/>
      </items>
    </pivotField>
    <pivotField name="North" compact="0" outline="0" multipleItemSelectionAllowed="1" showAll="0">
      <items>
        <item x="0"/>
        <item x="1"/>
        <item x="2"/>
        <item x="3"/>
        <item x="4"/>
        <item t="default"/>
      </items>
    </pivotField>
    <pivotField name="25"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221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23-01-22 0:00:00"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5532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3"/>
  </rowFields>
  <dataFields>
    <dataField name="SUM of 25" fld="5" baseField="0"/>
  </dataFields>
</pivotTableDefinition>
</file>

<file path=xl/pivotTables/pivotTable4.xml><?xml version="1.0" encoding="utf-8"?>
<pivotTableDefinition xmlns="http://schemas.openxmlformats.org/spreadsheetml/2006/main" name="Sheet1 4" cacheId="0" dataCaption="" compact="0" compactData="0">
  <location ref="A105:B111" firstHeaderRow="0" firstDataRow="1" firstDataCol="0"/>
  <pivotFields>
    <pivotField name="E102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Iv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IT" compact="0" outline="0" multipleItemSelectionAllowed="1" showAll="0">
      <items>
        <item x="0"/>
        <item x="1"/>
        <item x="2"/>
        <item x="3"/>
        <item x="4"/>
        <item x="5"/>
        <item t="default"/>
      </items>
    </pivotField>
    <pivotField name="Tablet" compact="0" outline="0" multipleItemSelectionAllowed="1" showAll="0">
      <items>
        <item x="0"/>
        <item x="1"/>
        <item x="2"/>
        <item x="3"/>
        <item x="4"/>
        <item x="5"/>
        <item t="default"/>
      </items>
    </pivotField>
    <pivotField name="North" axis="axisRow" compact="0" outline="0" multipleItemSelectionAllowed="1" showAll="0" sortType="ascending">
      <items>
        <item x="4"/>
        <item x="2"/>
        <item x="0"/>
        <item x="1"/>
        <item x="3"/>
        <item t="default"/>
      </items>
    </pivotField>
    <pivotField name="2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221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23-01-22 0:00:00"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55325"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4"/>
  </rowFields>
  <dataFields>
    <dataField name="COUNT of 55325" fld="8" subtotal="countNums" baseField="0"/>
  </dataFields>
</pivotTableDefinition>
</file>

<file path=xl/pivotTables/pivotTable5.xml><?xml version="1.0" encoding="utf-8"?>
<pivotTableDefinition xmlns="http://schemas.openxmlformats.org/spreadsheetml/2006/main" name="Sheet1 5" cacheId="0" dataCaption="" compact="0" compactData="0">
  <location ref="A113:B153" firstHeaderRow="0" firstDataRow="1" firstDataCol="0"/>
  <pivotFields>
    <pivotField name="E1021" axis="axisRow" compact="0" outline="0" multipleItemSelectionAllowed="1" showAll="0" sortType="ascending">
      <items>
        <item x="28"/>
        <item x="29"/>
        <item x="30"/>
        <item x="31"/>
        <item x="32"/>
        <item x="33"/>
        <item x="34"/>
        <item x="35"/>
        <item x="36"/>
        <item x="37"/>
        <item x="38"/>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Ivy"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IT" compact="0" outline="0" multipleItemSelectionAllowed="1" showAll="0">
      <items>
        <item x="0"/>
        <item x="1"/>
        <item x="2"/>
        <item x="3"/>
        <item x="4"/>
        <item x="5"/>
        <item t="default"/>
      </items>
    </pivotField>
    <pivotField name="Tablet" compact="0" outline="0" multipleItemSelectionAllowed="1" showAll="0">
      <items>
        <item x="0"/>
        <item x="1"/>
        <item x="2"/>
        <item x="3"/>
        <item x="4"/>
        <item x="5"/>
        <item t="default"/>
      </items>
    </pivotField>
    <pivotField name="North" compact="0" outline="0" multipleItemSelectionAllowed="1" showAll="0">
      <items>
        <item x="0"/>
        <item x="1"/>
        <item x="2"/>
        <item x="3"/>
        <item x="4"/>
        <item t="default"/>
      </items>
    </pivotField>
    <pivotField name="25"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2213"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2023-01-22 0:00:00"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55325"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0"/>
  </rowFields>
  <dataFields>
    <dataField name="SUM of 55325" fld="8" baseField="0"/>
  </dataFields>
</pivotTableDefinition>
</file>

<file path=xl/pivotTables/pivotTable6.xml><?xml version="1.0" encoding="utf-8"?>
<pivotTableDefinition xmlns="http://schemas.openxmlformats.org/spreadsheetml/2006/main" name="Sheet1 7" cacheId="2" dataCaption="" compact="0" compactData="0">
  <location ref="A161:G165" firstHeaderRow="0" firstDataRow="1" firstDataCol="1"/>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Name" compact="0" outline="0" multipleItemSelectionAllowed="1" showAll="0">
      <items>
        <item x="0"/>
        <item x="1"/>
        <item x="2"/>
        <item x="3"/>
        <item x="4"/>
        <item x="5"/>
        <item x="6"/>
        <item x="7"/>
        <item x="8"/>
        <item x="9"/>
        <item t="default"/>
      </items>
    </pivotField>
    <pivotField name="Department" axis="axisCol" compact="0" outline="0" multipleItemSelectionAllowed="1" showAll="0" sortType="ascending">
      <items>
        <item x="0"/>
        <item x="2"/>
        <item x="4"/>
        <item x="3"/>
        <item x="1"/>
        <item t="default"/>
      </items>
    </pivotField>
    <pivotField name="Product" compact="0" outline="0" multipleItemSelectionAllowed="1" showAll="0">
      <items>
        <item x="0"/>
        <item x="1"/>
        <item x="2"/>
        <item x="3"/>
        <item x="4"/>
        <item t="default"/>
      </items>
    </pivotField>
    <pivotField name="Region" compact="0" outline="0" multipleItemSelectionAllowed="1" showAll="0">
      <items>
        <item x="0"/>
        <item x="1"/>
        <item x="2"/>
        <item x="3"/>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 S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 of sale2" axis="axisRow" compact="0" outline="0" multipleItemSelectionAllowed="1" showAll="0" sortType="ascending">
      <items>
        <item x="0"/>
        <item x="1"/>
        <item x="2"/>
        <item x="3"/>
        <item x="4"/>
        <item x="5"/>
        <item x="6"/>
        <item x="7"/>
        <item x="8"/>
        <item x="9"/>
        <item x="10"/>
        <item x="11"/>
        <item x="12"/>
        <item x="13"/>
        <item t="default"/>
      </items>
    </pivotField>
  </pivotFields>
  <rowFields>
    <field x="9"/>
  </rowFields>
  <colFields>
    <field x="2"/>
  </colFields>
  <dataFields>
    <dataField name="SUM of Total Sale" fld="8" baseField="0"/>
  </dataFields>
</pivotTableDefinition>
</file>

<file path=xl/pivotTables/pivotTable7.xml><?xml version="1.0" encoding="utf-8"?>
<pivotTableDefinition xmlns="http://schemas.openxmlformats.org/spreadsheetml/2006/main" name="Sheet1 8" cacheId="1" dataCaption="" compact="0" compactData="0">
  <location ref="A187:C193" firstHeaderRow="0" firstDataRow="2" firstDataCol="0"/>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Nam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t="default"/>
      </items>
    </pivotField>
    <pivotField name="Product" axis="axisRow" compact="0" outline="0" multipleItemSelectionAllowed="1" showAll="0" sortType="ascending">
      <items>
        <item x="4"/>
        <item x="3"/>
        <item x="2"/>
        <item x="0"/>
        <item x="1"/>
        <item t="default"/>
      </items>
    </pivotField>
    <pivotField name="Region" compact="0" outline="0" multipleItemSelectionAllowed="1" showAll="0">
      <items>
        <item x="0"/>
        <item x="1"/>
        <item x="2"/>
        <item x="3"/>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Unit Pri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 Sa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3"/>
  </rowFields>
  <colFields>
    <field x="-2"/>
  </colFields>
  <dataFields>
    <dataField name="MAX of Unit Price" fld="6" subtotal="max" baseField="0"/>
    <dataField name="SUM of Unit Price" fld="6" baseField="0"/>
  </dataFields>
</pivotTableDefinition>
</file>

<file path=xl/pivotTables/pivotTable8.xml><?xml version="1.0" encoding="utf-8"?>
<pivotTableDefinition xmlns="http://schemas.openxmlformats.org/spreadsheetml/2006/main" name="Sheet1 9" cacheId="1" dataCaption="" compact="0" compactData="0">
  <location ref="A196:G202" firstHeaderRow="0" firstDataRow="1" firstDataCol="1"/>
  <pivotFields>
    <pivotField name=" 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Name" compact="0" outline="0" multipleItemSelectionAllowed="1" showAll="0">
      <items>
        <item x="0"/>
        <item x="1"/>
        <item x="2"/>
        <item x="3"/>
        <item x="4"/>
        <item x="5"/>
        <item x="6"/>
        <item x="7"/>
        <item x="8"/>
        <item x="9"/>
        <item t="default"/>
      </items>
    </pivotField>
    <pivotField name="Department" compact="0" outline="0" multipleItemSelectionAllowed="1" showAll="0">
      <items>
        <item x="0"/>
        <item x="1"/>
        <item x="2"/>
        <item x="3"/>
        <item x="4"/>
        <item t="default"/>
      </items>
    </pivotField>
    <pivotField name="Product" axis="axisCol" compact="0" outline="0" multipleItemSelectionAllowed="1" showAll="0" sortType="ascending">
      <items>
        <item x="4"/>
        <item x="3"/>
        <item x="2"/>
        <item x="0"/>
        <item x="1"/>
        <item t="default"/>
      </items>
    </pivotField>
    <pivotField name="Region" axis="axisRow" compact="0" outline="0" multipleItemSelectionAllowed="1" showAll="0" sortType="ascending">
      <items>
        <item x="3"/>
        <item x="2"/>
        <item x="1"/>
        <item x="0"/>
        <item t="default"/>
      </items>
    </pivotField>
    <pivotField name="Units Sol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Unit 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Date of Sal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Total Sal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s>
  <rowFields>
    <field x="4"/>
  </rowFields>
  <colFields>
    <field x="3"/>
  </colFields>
  <dataFields>
    <dataField name="SUM of Total Sale" fld="8"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Region">
  <x14:extLst>
    <ext uri="{2F2917AC-EB37-4324-AD4E-5DD8C200BD13}">
      <x15:tableSlicerCache tableId="1" column="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Region_1" cache="SlicerCache_Table_1_Col_5" caption="Region" rowHeight="247650"/>
</x14:slicers>
</file>

<file path=xl/tables/table1.xml><?xml version="1.0" encoding="utf-8"?>
<table xmlns="http://schemas.openxmlformats.org/spreadsheetml/2006/main" ref="A1:I51" displayName="Table_1" name="Table_1" id="1">
  <autoFilter ref="$A$1:$I$51"/>
  <tableColumns count="9">
    <tableColumn name=" Employee ID" id="1"/>
    <tableColumn name="Name" id="2"/>
    <tableColumn name="Department" id="3"/>
    <tableColumn name="Product" id="4"/>
    <tableColumn name="Region" id="5"/>
    <tableColumn name="Units Sold" id="6"/>
    <tableColumn name="Unit Price" id="7"/>
    <tableColumn name="Date of Sale" id="8"/>
    <tableColumn name="Total Sale" id="9"/>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11" Type="http://schemas.openxmlformats.org/officeDocument/2006/relationships/table" Target="../tables/table1.xml"/><Relationship Id="rId12" Type="http://schemas.microsoft.com/office/2007/relationships/slicer" Target="../slicers/slicer1.xml"/><Relationship Id="rId9" Type="http://schemas.openxmlformats.org/officeDocument/2006/relationships/drawing" Target="../drawings/drawing1.xml"/><Relationship Id="rId5" Type="http://schemas.openxmlformats.org/officeDocument/2006/relationships/pivotTable" Target="../pivotTables/pivotTable5.xml"/><Relationship Id="rId6" Type="http://schemas.openxmlformats.org/officeDocument/2006/relationships/pivotTable" Target="../pivotTables/pivotTable6.xml"/><Relationship Id="rId7" Type="http://schemas.openxmlformats.org/officeDocument/2006/relationships/pivotTable" Target="../pivotTables/pivotTable7.xml"/><Relationship Id="rId8" Type="http://schemas.openxmlformats.org/officeDocument/2006/relationships/pivotTable" Target="../pivotTables/pivotTable8.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2"/>
    </row>
    <row r="2">
      <c r="A2" s="3" t="s">
        <v>9</v>
      </c>
      <c r="B2" s="3" t="s">
        <v>10</v>
      </c>
      <c r="C2" s="3" t="s">
        <v>11</v>
      </c>
      <c r="D2" s="3" t="s">
        <v>12</v>
      </c>
      <c r="E2" s="3" t="s">
        <v>13</v>
      </c>
      <c r="F2" s="4">
        <v>52.0</v>
      </c>
      <c r="G2" s="4">
        <v>3890.0</v>
      </c>
      <c r="H2" s="5">
        <v>44927.0</v>
      </c>
      <c r="I2" s="4">
        <v>202280.0</v>
      </c>
      <c r="J2" s="2"/>
    </row>
    <row r="3">
      <c r="A3" s="3" t="s">
        <v>14</v>
      </c>
      <c r="B3" s="3" t="s">
        <v>10</v>
      </c>
      <c r="C3" s="3" t="s">
        <v>11</v>
      </c>
      <c r="D3" s="3" t="s">
        <v>15</v>
      </c>
      <c r="E3" s="3" t="s">
        <v>16</v>
      </c>
      <c r="F3" s="4">
        <v>20.0</v>
      </c>
      <c r="G3" s="4">
        <v>1050.0</v>
      </c>
      <c r="H3" s="5">
        <v>44928.0</v>
      </c>
      <c r="I3" s="4">
        <v>21000.0</v>
      </c>
      <c r="J3" s="2"/>
    </row>
    <row r="4">
      <c r="A4" s="3" t="s">
        <v>17</v>
      </c>
      <c r="B4" s="3" t="s">
        <v>18</v>
      </c>
      <c r="C4" s="3" t="s">
        <v>19</v>
      </c>
      <c r="D4" s="3" t="s">
        <v>12</v>
      </c>
      <c r="E4" s="3" t="s">
        <v>16</v>
      </c>
      <c r="F4" s="4">
        <v>74.0</v>
      </c>
      <c r="G4" s="4">
        <v>1334.0</v>
      </c>
      <c r="H4" s="5">
        <v>44929.0</v>
      </c>
      <c r="I4" s="4">
        <v>98716.0</v>
      </c>
      <c r="J4" s="2"/>
    </row>
    <row r="5">
      <c r="A5" s="3" t="s">
        <v>20</v>
      </c>
      <c r="B5" s="3" t="s">
        <v>21</v>
      </c>
      <c r="C5" s="3" t="s">
        <v>11</v>
      </c>
      <c r="D5" s="3" t="s">
        <v>12</v>
      </c>
      <c r="E5" s="3" t="s">
        <v>22</v>
      </c>
      <c r="F5" s="4">
        <v>12.0</v>
      </c>
      <c r="G5" s="4">
        <v>2991.0</v>
      </c>
      <c r="H5" s="5">
        <v>44930.0</v>
      </c>
      <c r="I5" s="4">
        <v>35892.0</v>
      </c>
      <c r="J5" s="2"/>
    </row>
    <row r="6">
      <c r="A6" s="3" t="s">
        <v>23</v>
      </c>
      <c r="B6" s="3" t="s">
        <v>18</v>
      </c>
      <c r="C6" s="3" t="s">
        <v>19</v>
      </c>
      <c r="D6" s="3" t="s">
        <v>24</v>
      </c>
      <c r="E6" s="3" t="s">
        <v>22</v>
      </c>
      <c r="F6" s="4">
        <v>24.0</v>
      </c>
      <c r="G6" s="4">
        <v>1326.0</v>
      </c>
      <c r="H6" s="5">
        <v>44931.0</v>
      </c>
      <c r="I6" s="4">
        <v>31824.0</v>
      </c>
      <c r="J6" s="2"/>
    </row>
    <row r="7">
      <c r="A7" s="3" t="s">
        <v>25</v>
      </c>
      <c r="B7" s="3" t="s">
        <v>26</v>
      </c>
      <c r="C7" s="3" t="s">
        <v>27</v>
      </c>
      <c r="D7" s="3" t="s">
        <v>28</v>
      </c>
      <c r="E7" s="3" t="s">
        <v>22</v>
      </c>
      <c r="F7" s="4">
        <v>26.0</v>
      </c>
      <c r="G7" s="4">
        <v>2871.0</v>
      </c>
      <c r="H7" s="5">
        <v>44932.0</v>
      </c>
      <c r="I7" s="4">
        <v>74646.0</v>
      </c>
      <c r="J7" s="2"/>
    </row>
    <row r="8">
      <c r="A8" s="3" t="s">
        <v>29</v>
      </c>
      <c r="B8" s="3" t="s">
        <v>26</v>
      </c>
      <c r="C8" s="3" t="s">
        <v>27</v>
      </c>
      <c r="D8" s="3" t="s">
        <v>15</v>
      </c>
      <c r="E8" s="3" t="s">
        <v>13</v>
      </c>
      <c r="F8" s="4">
        <v>39.0</v>
      </c>
      <c r="G8" s="4">
        <v>4625.0</v>
      </c>
      <c r="H8" s="5">
        <v>44933.0</v>
      </c>
      <c r="I8" s="4">
        <v>180375.0</v>
      </c>
      <c r="J8" s="2"/>
    </row>
    <row r="9">
      <c r="A9" s="3" t="s">
        <v>30</v>
      </c>
      <c r="B9" s="3" t="s">
        <v>18</v>
      </c>
      <c r="C9" s="3" t="s">
        <v>11</v>
      </c>
      <c r="D9" s="3" t="s">
        <v>15</v>
      </c>
      <c r="E9" s="3" t="s">
        <v>13</v>
      </c>
      <c r="F9" s="4">
        <v>36.0</v>
      </c>
      <c r="G9" s="4">
        <v>2257.0</v>
      </c>
      <c r="H9" s="5">
        <v>44934.0</v>
      </c>
      <c r="I9" s="4">
        <v>81252.0</v>
      </c>
      <c r="J9" s="2"/>
    </row>
    <row r="10">
      <c r="A10" s="3" t="s">
        <v>31</v>
      </c>
      <c r="B10" s="3" t="s">
        <v>32</v>
      </c>
      <c r="C10" s="3" t="s">
        <v>27</v>
      </c>
      <c r="D10" s="3" t="s">
        <v>24</v>
      </c>
      <c r="E10" s="3" t="s">
        <v>33</v>
      </c>
      <c r="F10" s="4">
        <v>88.0</v>
      </c>
      <c r="G10" s="4">
        <v>3168.0</v>
      </c>
      <c r="H10" s="5">
        <v>44935.0</v>
      </c>
      <c r="I10" s="4">
        <v>278784.0</v>
      </c>
      <c r="J10" s="2"/>
    </row>
    <row r="11">
      <c r="A11" s="3" t="s">
        <v>34</v>
      </c>
      <c r="B11" s="3" t="s">
        <v>32</v>
      </c>
      <c r="C11" s="3" t="s">
        <v>35</v>
      </c>
      <c r="D11" s="3" t="s">
        <v>15</v>
      </c>
      <c r="E11" s="3" t="s">
        <v>22</v>
      </c>
      <c r="F11" s="4">
        <v>95.0</v>
      </c>
      <c r="G11" s="4">
        <v>2360.0</v>
      </c>
      <c r="H11" s="5">
        <v>44936.0</v>
      </c>
      <c r="I11" s="4">
        <v>224200.0</v>
      </c>
      <c r="J11" s="2"/>
    </row>
    <row r="12">
      <c r="A12" s="3" t="s">
        <v>36</v>
      </c>
      <c r="B12" s="3" t="s">
        <v>37</v>
      </c>
      <c r="C12" s="3" t="s">
        <v>38</v>
      </c>
      <c r="D12" s="3" t="s">
        <v>12</v>
      </c>
      <c r="E12" s="3" t="s">
        <v>22</v>
      </c>
      <c r="F12" s="4">
        <v>16.0</v>
      </c>
      <c r="G12" s="4">
        <v>4264.0</v>
      </c>
      <c r="H12" s="5">
        <v>44937.0</v>
      </c>
      <c r="I12" s="4">
        <v>68224.0</v>
      </c>
      <c r="J12" s="2"/>
    </row>
    <row r="13">
      <c r="A13" s="3" t="s">
        <v>39</v>
      </c>
      <c r="B13" s="3" t="s">
        <v>18</v>
      </c>
      <c r="C13" s="3" t="s">
        <v>27</v>
      </c>
      <c r="D13" s="3" t="s">
        <v>28</v>
      </c>
      <c r="E13" s="3" t="s">
        <v>22</v>
      </c>
      <c r="F13" s="4">
        <v>11.0</v>
      </c>
      <c r="G13" s="4">
        <v>4003.0</v>
      </c>
      <c r="H13" s="5">
        <v>44938.0</v>
      </c>
      <c r="I13" s="4">
        <v>44033.0</v>
      </c>
      <c r="J13" s="2"/>
    </row>
    <row r="14">
      <c r="A14" s="3" t="s">
        <v>40</v>
      </c>
      <c r="B14" s="3" t="s">
        <v>41</v>
      </c>
      <c r="C14" s="3" t="s">
        <v>38</v>
      </c>
      <c r="D14" s="3" t="s">
        <v>28</v>
      </c>
      <c r="E14" s="3" t="s">
        <v>16</v>
      </c>
      <c r="F14" s="4">
        <v>28.0</v>
      </c>
      <c r="G14" s="4">
        <v>4411.0</v>
      </c>
      <c r="H14" s="5">
        <v>44939.0</v>
      </c>
      <c r="I14" s="4">
        <v>123508.0</v>
      </c>
      <c r="J14" s="2"/>
    </row>
    <row r="15">
      <c r="A15" s="3" t="s">
        <v>42</v>
      </c>
      <c r="B15" s="3" t="s">
        <v>43</v>
      </c>
      <c r="C15" s="3" t="s">
        <v>27</v>
      </c>
      <c r="D15" s="3" t="s">
        <v>24</v>
      </c>
      <c r="E15" s="3" t="s">
        <v>33</v>
      </c>
      <c r="F15" s="4">
        <v>76.0</v>
      </c>
      <c r="G15" s="4">
        <v>4104.0</v>
      </c>
      <c r="H15" s="5">
        <v>44940.0</v>
      </c>
      <c r="I15" s="4">
        <v>311904.0</v>
      </c>
      <c r="J15" s="2"/>
    </row>
    <row r="16">
      <c r="A16" s="3" t="s">
        <v>44</v>
      </c>
      <c r="B16" s="3" t="s">
        <v>21</v>
      </c>
      <c r="C16" s="3" t="s">
        <v>11</v>
      </c>
      <c r="D16" s="3" t="s">
        <v>24</v>
      </c>
      <c r="E16" s="3" t="s">
        <v>33</v>
      </c>
      <c r="F16" s="4">
        <v>74.0</v>
      </c>
      <c r="G16" s="4">
        <v>3342.0</v>
      </c>
      <c r="H16" s="5">
        <v>44941.0</v>
      </c>
      <c r="I16" s="4">
        <v>247308.0</v>
      </c>
      <c r="J16" s="2"/>
    </row>
    <row r="17">
      <c r="A17" s="3" t="s">
        <v>45</v>
      </c>
      <c r="B17" s="3" t="s">
        <v>21</v>
      </c>
      <c r="C17" s="3" t="s">
        <v>11</v>
      </c>
      <c r="D17" s="3" t="s">
        <v>24</v>
      </c>
      <c r="E17" s="3" t="s">
        <v>22</v>
      </c>
      <c r="F17" s="4">
        <v>47.0</v>
      </c>
      <c r="G17" s="4">
        <v>1647.0</v>
      </c>
      <c r="H17" s="5">
        <v>44942.0</v>
      </c>
      <c r="I17" s="4">
        <v>77409.0</v>
      </c>
      <c r="J17" s="2"/>
    </row>
    <row r="18">
      <c r="A18" s="3" t="s">
        <v>46</v>
      </c>
      <c r="B18" s="3" t="s">
        <v>32</v>
      </c>
      <c r="C18" s="3" t="s">
        <v>35</v>
      </c>
      <c r="D18" s="3" t="s">
        <v>24</v>
      </c>
      <c r="E18" s="3" t="s">
        <v>22</v>
      </c>
      <c r="F18" s="4">
        <v>60.0</v>
      </c>
      <c r="G18" s="4">
        <v>2045.0</v>
      </c>
      <c r="H18" s="5">
        <v>44943.0</v>
      </c>
      <c r="I18" s="4">
        <v>122700.0</v>
      </c>
      <c r="J18" s="2"/>
    </row>
    <row r="19">
      <c r="A19" s="3" t="s">
        <v>47</v>
      </c>
      <c r="B19" s="3" t="s">
        <v>10</v>
      </c>
      <c r="C19" s="3" t="s">
        <v>38</v>
      </c>
      <c r="D19" s="3" t="s">
        <v>24</v>
      </c>
      <c r="E19" s="3" t="s">
        <v>16</v>
      </c>
      <c r="F19" s="4">
        <v>62.0</v>
      </c>
      <c r="G19" s="4">
        <v>3073.0</v>
      </c>
      <c r="H19" s="5">
        <v>44944.0</v>
      </c>
      <c r="I19" s="4">
        <v>190526.0</v>
      </c>
      <c r="J19" s="2"/>
    </row>
    <row r="20">
      <c r="A20" s="3" t="s">
        <v>48</v>
      </c>
      <c r="B20" s="3" t="s">
        <v>18</v>
      </c>
      <c r="C20" s="3" t="s">
        <v>38</v>
      </c>
      <c r="D20" s="3" t="s">
        <v>15</v>
      </c>
      <c r="E20" s="3" t="s">
        <v>33</v>
      </c>
      <c r="F20" s="4">
        <v>57.0</v>
      </c>
      <c r="G20" s="4">
        <v>2641.0</v>
      </c>
      <c r="H20" s="5">
        <v>44945.0</v>
      </c>
      <c r="I20" s="4">
        <v>150537.0</v>
      </c>
      <c r="J20" s="2"/>
    </row>
    <row r="21">
      <c r="A21" s="3" t="s">
        <v>49</v>
      </c>
      <c r="B21" s="3" t="s">
        <v>18</v>
      </c>
      <c r="C21" s="3" t="s">
        <v>38</v>
      </c>
      <c r="D21" s="3" t="s">
        <v>24</v>
      </c>
      <c r="E21" s="3" t="s">
        <v>16</v>
      </c>
      <c r="F21" s="4">
        <v>32.0</v>
      </c>
      <c r="G21" s="4">
        <v>1582.0</v>
      </c>
      <c r="H21" s="5">
        <v>44946.0</v>
      </c>
      <c r="I21" s="4">
        <v>50624.0</v>
      </c>
      <c r="J21" s="2"/>
    </row>
    <row r="22">
      <c r="A22" s="3" t="s">
        <v>50</v>
      </c>
      <c r="B22" s="3" t="s">
        <v>51</v>
      </c>
      <c r="C22" s="3" t="s">
        <v>11</v>
      </c>
      <c r="D22" s="3" t="s">
        <v>15</v>
      </c>
      <c r="E22" s="3" t="s">
        <v>13</v>
      </c>
      <c r="F22" s="4">
        <v>64.0</v>
      </c>
      <c r="G22" s="4">
        <v>3773.0</v>
      </c>
      <c r="H22" s="5">
        <v>44947.0</v>
      </c>
      <c r="I22" s="4">
        <v>241472.0</v>
      </c>
      <c r="J22" s="2"/>
    </row>
    <row r="23">
      <c r="A23" s="3" t="s">
        <v>52</v>
      </c>
      <c r="B23" s="3" t="s">
        <v>41</v>
      </c>
      <c r="C23" s="3" t="s">
        <v>38</v>
      </c>
      <c r="D23" s="3" t="s">
        <v>15</v>
      </c>
      <c r="E23" s="3" t="s">
        <v>22</v>
      </c>
      <c r="F23" s="4">
        <v>25.0</v>
      </c>
      <c r="G23" s="4">
        <v>2213.0</v>
      </c>
      <c r="H23" s="5">
        <v>44948.0</v>
      </c>
      <c r="I23" s="4">
        <v>55325.0</v>
      </c>
      <c r="J23" s="2"/>
    </row>
    <row r="24">
      <c r="A24" s="3" t="s">
        <v>53</v>
      </c>
      <c r="B24" s="3" t="s">
        <v>18</v>
      </c>
      <c r="C24" s="3" t="s">
        <v>11</v>
      </c>
      <c r="D24" s="3" t="s">
        <v>12</v>
      </c>
      <c r="E24" s="3" t="s">
        <v>22</v>
      </c>
      <c r="F24" s="4">
        <v>43.0</v>
      </c>
      <c r="G24" s="4">
        <v>1518.0</v>
      </c>
      <c r="H24" s="5">
        <v>44949.0</v>
      </c>
      <c r="I24" s="4">
        <v>65274.0</v>
      </c>
      <c r="J24" s="2"/>
    </row>
    <row r="25">
      <c r="A25" s="3" t="s">
        <v>54</v>
      </c>
      <c r="B25" s="3" t="s">
        <v>43</v>
      </c>
      <c r="C25" s="3" t="s">
        <v>38</v>
      </c>
      <c r="D25" s="3" t="s">
        <v>24</v>
      </c>
      <c r="E25" s="3" t="s">
        <v>16</v>
      </c>
      <c r="F25" s="4">
        <v>18.0</v>
      </c>
      <c r="G25" s="4">
        <v>1042.0</v>
      </c>
      <c r="H25" s="5">
        <v>44950.0</v>
      </c>
      <c r="I25" s="4">
        <v>18756.0</v>
      </c>
      <c r="J25" s="2"/>
    </row>
    <row r="26">
      <c r="A26" s="3" t="s">
        <v>55</v>
      </c>
      <c r="B26" s="3" t="s">
        <v>51</v>
      </c>
      <c r="C26" s="3" t="s">
        <v>19</v>
      </c>
      <c r="D26" s="3" t="s">
        <v>24</v>
      </c>
      <c r="E26" s="3" t="s">
        <v>33</v>
      </c>
      <c r="F26" s="4">
        <v>2.0</v>
      </c>
      <c r="G26" s="4">
        <v>2178.0</v>
      </c>
      <c r="H26" s="5">
        <v>44951.0</v>
      </c>
      <c r="I26" s="4">
        <v>4356.0</v>
      </c>
      <c r="J26" s="2"/>
    </row>
    <row r="27">
      <c r="A27" s="3" t="s">
        <v>56</v>
      </c>
      <c r="B27" s="3" t="s">
        <v>57</v>
      </c>
      <c r="C27" s="3" t="s">
        <v>27</v>
      </c>
      <c r="D27" s="3" t="s">
        <v>12</v>
      </c>
      <c r="E27" s="3" t="s">
        <v>33</v>
      </c>
      <c r="F27" s="4">
        <v>84.0</v>
      </c>
      <c r="G27" s="4">
        <v>4439.0</v>
      </c>
      <c r="H27" s="5">
        <v>44952.0</v>
      </c>
      <c r="I27" s="4">
        <v>372876.0</v>
      </c>
      <c r="J27" s="2"/>
    </row>
    <row r="28">
      <c r="A28" s="3" t="s">
        <v>58</v>
      </c>
      <c r="B28" s="3" t="s">
        <v>18</v>
      </c>
      <c r="C28" s="3" t="s">
        <v>11</v>
      </c>
      <c r="D28" s="3" t="s">
        <v>24</v>
      </c>
      <c r="E28" s="3" t="s">
        <v>22</v>
      </c>
      <c r="F28" s="4">
        <v>12.0</v>
      </c>
      <c r="G28" s="4">
        <v>1148.0</v>
      </c>
      <c r="H28" s="5">
        <v>44953.0</v>
      </c>
      <c r="I28" s="4">
        <v>13776.0</v>
      </c>
      <c r="J28" s="2"/>
    </row>
    <row r="29">
      <c r="A29" s="3" t="s">
        <v>59</v>
      </c>
      <c r="B29" s="3" t="s">
        <v>51</v>
      </c>
      <c r="C29" s="3" t="s">
        <v>11</v>
      </c>
      <c r="D29" s="3" t="s">
        <v>15</v>
      </c>
      <c r="E29" s="3" t="s">
        <v>33</v>
      </c>
      <c r="F29" s="4">
        <v>65.0</v>
      </c>
      <c r="G29" s="4">
        <v>4067.0</v>
      </c>
      <c r="H29" s="5">
        <v>44954.0</v>
      </c>
      <c r="I29" s="4">
        <v>264355.0</v>
      </c>
      <c r="J29" s="2"/>
    </row>
    <row r="30">
      <c r="A30" s="3" t="s">
        <v>60</v>
      </c>
      <c r="B30" s="3" t="s">
        <v>41</v>
      </c>
      <c r="C30" s="3" t="s">
        <v>27</v>
      </c>
      <c r="D30" s="3" t="s">
        <v>28</v>
      </c>
      <c r="E30" s="3" t="s">
        <v>33</v>
      </c>
      <c r="F30" s="4">
        <v>30.0</v>
      </c>
      <c r="G30" s="4">
        <v>3294.0</v>
      </c>
      <c r="H30" s="5">
        <v>44955.0</v>
      </c>
      <c r="I30" s="4">
        <v>98820.0</v>
      </c>
      <c r="J30" s="2"/>
    </row>
    <row r="31">
      <c r="A31" s="3" t="s">
        <v>61</v>
      </c>
      <c r="B31" s="3" t="s">
        <v>43</v>
      </c>
      <c r="C31" s="3" t="s">
        <v>27</v>
      </c>
      <c r="D31" s="3" t="s">
        <v>28</v>
      </c>
      <c r="E31" s="3" t="s">
        <v>33</v>
      </c>
      <c r="F31" s="4">
        <v>70.0</v>
      </c>
      <c r="G31" s="4">
        <v>2269.0</v>
      </c>
      <c r="H31" s="5">
        <v>44956.0</v>
      </c>
      <c r="I31" s="4">
        <v>158830.0</v>
      </c>
      <c r="J31" s="2"/>
    </row>
    <row r="32">
      <c r="A32" s="3" t="s">
        <v>62</v>
      </c>
      <c r="B32" s="3" t="s">
        <v>51</v>
      </c>
      <c r="C32" s="3" t="s">
        <v>19</v>
      </c>
      <c r="D32" s="3" t="s">
        <v>15</v>
      </c>
      <c r="E32" s="3" t="s">
        <v>22</v>
      </c>
      <c r="F32" s="4">
        <v>87.0</v>
      </c>
      <c r="G32" s="4">
        <v>2832.0</v>
      </c>
      <c r="H32" s="5">
        <v>44957.0</v>
      </c>
      <c r="I32" s="4">
        <v>246384.0</v>
      </c>
      <c r="J32" s="2"/>
    </row>
    <row r="33">
      <c r="A33" s="3" t="s">
        <v>63</v>
      </c>
      <c r="B33" s="3" t="s">
        <v>41</v>
      </c>
      <c r="C33" s="3" t="s">
        <v>11</v>
      </c>
      <c r="D33" s="3" t="s">
        <v>12</v>
      </c>
      <c r="E33" s="3" t="s">
        <v>16</v>
      </c>
      <c r="F33" s="4">
        <v>33.0</v>
      </c>
      <c r="G33" s="4">
        <v>3414.0</v>
      </c>
      <c r="H33" s="5">
        <v>44958.0</v>
      </c>
      <c r="I33" s="4">
        <v>112662.0</v>
      </c>
      <c r="J33" s="2"/>
    </row>
    <row r="34">
      <c r="A34" s="3" t="s">
        <v>64</v>
      </c>
      <c r="B34" s="3" t="s">
        <v>26</v>
      </c>
      <c r="C34" s="3" t="s">
        <v>19</v>
      </c>
      <c r="D34" s="3" t="s">
        <v>15</v>
      </c>
      <c r="E34" s="3" t="s">
        <v>13</v>
      </c>
      <c r="F34" s="4">
        <v>46.0</v>
      </c>
      <c r="G34" s="4">
        <v>1579.0</v>
      </c>
      <c r="H34" s="5">
        <v>44959.0</v>
      </c>
      <c r="I34" s="4">
        <v>72634.0</v>
      </c>
      <c r="J34" s="2"/>
    </row>
    <row r="35">
      <c r="A35" s="3" t="s">
        <v>65</v>
      </c>
      <c r="B35" s="3" t="s">
        <v>21</v>
      </c>
      <c r="C35" s="3" t="s">
        <v>27</v>
      </c>
      <c r="D35" s="3" t="s">
        <v>24</v>
      </c>
      <c r="E35" s="3" t="s">
        <v>13</v>
      </c>
      <c r="F35" s="4">
        <v>14.0</v>
      </c>
      <c r="G35" s="4">
        <v>1342.0</v>
      </c>
      <c r="H35" s="5">
        <v>44960.0</v>
      </c>
      <c r="I35" s="4">
        <v>18788.0</v>
      </c>
      <c r="J35" s="2"/>
    </row>
    <row r="36">
      <c r="A36" s="3" t="s">
        <v>66</v>
      </c>
      <c r="B36" s="3" t="s">
        <v>10</v>
      </c>
      <c r="C36" s="3" t="s">
        <v>38</v>
      </c>
      <c r="D36" s="3" t="s">
        <v>15</v>
      </c>
      <c r="E36" s="3" t="s">
        <v>33</v>
      </c>
      <c r="F36" s="4">
        <v>59.0</v>
      </c>
      <c r="G36" s="4">
        <v>1297.0</v>
      </c>
      <c r="H36" s="5">
        <v>44961.0</v>
      </c>
      <c r="I36" s="4">
        <v>76523.0</v>
      </c>
      <c r="J36" s="2"/>
    </row>
    <row r="37">
      <c r="A37" s="3" t="s">
        <v>67</v>
      </c>
      <c r="B37" s="3" t="s">
        <v>32</v>
      </c>
      <c r="C37" s="3" t="s">
        <v>27</v>
      </c>
      <c r="D37" s="3" t="s">
        <v>15</v>
      </c>
      <c r="E37" s="3" t="s">
        <v>33</v>
      </c>
      <c r="F37" s="4">
        <v>71.0</v>
      </c>
      <c r="G37" s="4">
        <v>4518.0</v>
      </c>
      <c r="H37" s="5">
        <v>44962.0</v>
      </c>
      <c r="I37" s="4">
        <v>320778.0</v>
      </c>
      <c r="J37" s="2"/>
    </row>
    <row r="38">
      <c r="A38" s="3" t="s">
        <v>68</v>
      </c>
      <c r="B38" s="3" t="s">
        <v>41</v>
      </c>
      <c r="C38" s="3" t="s">
        <v>35</v>
      </c>
      <c r="D38" s="3" t="s">
        <v>24</v>
      </c>
      <c r="E38" s="3" t="s">
        <v>22</v>
      </c>
      <c r="F38" s="4">
        <v>80.0</v>
      </c>
      <c r="G38" s="4">
        <v>2925.0</v>
      </c>
      <c r="H38" s="5">
        <v>44963.0</v>
      </c>
      <c r="I38" s="4">
        <v>234000.0</v>
      </c>
      <c r="J38" s="2"/>
    </row>
    <row r="39">
      <c r="A39" s="3" t="s">
        <v>69</v>
      </c>
      <c r="B39" s="3" t="s">
        <v>18</v>
      </c>
      <c r="C39" s="3" t="s">
        <v>27</v>
      </c>
      <c r="D39" s="3" t="s">
        <v>70</v>
      </c>
      <c r="E39" s="3" t="s">
        <v>22</v>
      </c>
      <c r="F39" s="4">
        <v>57.0</v>
      </c>
      <c r="G39" s="4">
        <v>4951.0</v>
      </c>
      <c r="H39" s="5">
        <v>44964.0</v>
      </c>
      <c r="I39" s="4">
        <v>282207.0</v>
      </c>
      <c r="J39" s="2"/>
    </row>
    <row r="40">
      <c r="A40" s="3" t="s">
        <v>71</v>
      </c>
      <c r="B40" s="3" t="s">
        <v>21</v>
      </c>
      <c r="C40" s="3" t="s">
        <v>38</v>
      </c>
      <c r="D40" s="3" t="s">
        <v>12</v>
      </c>
      <c r="E40" s="3" t="s">
        <v>13</v>
      </c>
      <c r="F40" s="4">
        <v>37.0</v>
      </c>
      <c r="G40" s="4">
        <v>1757.0</v>
      </c>
      <c r="H40" s="5">
        <v>44965.0</v>
      </c>
      <c r="I40" s="4">
        <v>65009.0</v>
      </c>
      <c r="J40" s="2"/>
    </row>
    <row r="41">
      <c r="A41" s="3" t="s">
        <v>72</v>
      </c>
      <c r="B41" s="3" t="s">
        <v>10</v>
      </c>
      <c r="C41" s="3" t="s">
        <v>27</v>
      </c>
      <c r="D41" s="3" t="s">
        <v>28</v>
      </c>
      <c r="E41" s="3" t="s">
        <v>33</v>
      </c>
      <c r="F41" s="4">
        <v>24.0</v>
      </c>
      <c r="G41" s="4">
        <v>4412.0</v>
      </c>
      <c r="H41" s="5">
        <v>44966.0</v>
      </c>
      <c r="I41" s="4">
        <v>105888.0</v>
      </c>
      <c r="J41" s="2"/>
    </row>
    <row r="42">
      <c r="A42" s="3" t="s">
        <v>73</v>
      </c>
      <c r="B42" s="3" t="s">
        <v>51</v>
      </c>
      <c r="C42" s="3" t="s">
        <v>19</v>
      </c>
      <c r="D42" s="3" t="s">
        <v>24</v>
      </c>
      <c r="E42" s="3" t="s">
        <v>13</v>
      </c>
      <c r="F42" s="4">
        <v>14.0</v>
      </c>
      <c r="G42" s="4">
        <v>1396.0</v>
      </c>
      <c r="H42" s="5">
        <v>44967.0</v>
      </c>
      <c r="I42" s="4">
        <v>19544.0</v>
      </c>
      <c r="J42" s="2"/>
    </row>
    <row r="43">
      <c r="A43" s="3" t="s">
        <v>74</v>
      </c>
      <c r="B43" s="3" t="s">
        <v>32</v>
      </c>
      <c r="C43" s="3" t="s">
        <v>35</v>
      </c>
      <c r="D43" s="3" t="s">
        <v>70</v>
      </c>
      <c r="E43" s="3" t="s">
        <v>33</v>
      </c>
      <c r="F43" s="4">
        <v>65.0</v>
      </c>
      <c r="G43" s="4">
        <v>4050.0</v>
      </c>
      <c r="H43" s="5">
        <v>44968.0</v>
      </c>
      <c r="I43" s="4">
        <v>263250.0</v>
      </c>
      <c r="J43" s="2"/>
    </row>
    <row r="44">
      <c r="A44" s="3" t="s">
        <v>75</v>
      </c>
      <c r="B44" s="3" t="s">
        <v>26</v>
      </c>
      <c r="C44" s="3" t="s">
        <v>35</v>
      </c>
      <c r="D44" s="3" t="s">
        <v>15</v>
      </c>
      <c r="E44" s="3" t="s">
        <v>33</v>
      </c>
      <c r="F44" s="4">
        <v>99.0</v>
      </c>
      <c r="G44" s="4">
        <v>3780.0</v>
      </c>
      <c r="H44" s="5">
        <v>44969.0</v>
      </c>
      <c r="I44" s="4">
        <v>374220.0</v>
      </c>
      <c r="J44" s="2"/>
    </row>
    <row r="45">
      <c r="A45" s="3" t="s">
        <v>76</v>
      </c>
      <c r="B45" s="3" t="s">
        <v>32</v>
      </c>
      <c r="C45" s="3" t="s">
        <v>11</v>
      </c>
      <c r="D45" s="3" t="s">
        <v>12</v>
      </c>
      <c r="E45" s="3" t="s">
        <v>13</v>
      </c>
      <c r="F45" s="4">
        <v>99.0</v>
      </c>
      <c r="G45" s="4">
        <v>1075.0</v>
      </c>
      <c r="H45" s="5">
        <v>44970.0</v>
      </c>
      <c r="I45" s="4">
        <v>106425.0</v>
      </c>
      <c r="J45" s="2"/>
    </row>
    <row r="46">
      <c r="A46" s="3" t="s">
        <v>77</v>
      </c>
      <c r="B46" s="3" t="s">
        <v>21</v>
      </c>
      <c r="C46" s="3" t="s">
        <v>35</v>
      </c>
      <c r="D46" s="3" t="s">
        <v>15</v>
      </c>
      <c r="E46" s="3" t="s">
        <v>13</v>
      </c>
      <c r="F46" s="4">
        <v>82.0</v>
      </c>
      <c r="G46" s="4">
        <v>2152.0</v>
      </c>
      <c r="H46" s="5">
        <v>44971.0</v>
      </c>
      <c r="I46" s="4">
        <v>176464.0</v>
      </c>
      <c r="J46" s="2"/>
    </row>
    <row r="47">
      <c r="A47" s="3" t="s">
        <v>78</v>
      </c>
      <c r="B47" s="3" t="s">
        <v>18</v>
      </c>
      <c r="C47" s="3" t="s">
        <v>11</v>
      </c>
      <c r="D47" s="3" t="s">
        <v>70</v>
      </c>
      <c r="E47" s="3" t="s">
        <v>22</v>
      </c>
      <c r="F47" s="4">
        <v>97.0</v>
      </c>
      <c r="G47" s="4">
        <v>4983.0</v>
      </c>
      <c r="H47" s="5">
        <v>44972.0</v>
      </c>
      <c r="I47" s="4">
        <v>483351.0</v>
      </c>
      <c r="J47" s="2"/>
    </row>
    <row r="48">
      <c r="A48" s="3" t="s">
        <v>79</v>
      </c>
      <c r="B48" s="3" t="s">
        <v>21</v>
      </c>
      <c r="C48" s="3" t="s">
        <v>27</v>
      </c>
      <c r="D48" s="3" t="s">
        <v>12</v>
      </c>
      <c r="E48" s="3" t="s">
        <v>13</v>
      </c>
      <c r="F48" s="4">
        <v>94.0</v>
      </c>
      <c r="G48" s="4">
        <v>4591.0</v>
      </c>
      <c r="H48" s="5">
        <v>44973.0</v>
      </c>
      <c r="I48" s="4">
        <v>431554.0</v>
      </c>
      <c r="J48" s="2"/>
    </row>
    <row r="49">
      <c r="A49" s="3" t="s">
        <v>80</v>
      </c>
      <c r="B49" s="3" t="s">
        <v>26</v>
      </c>
      <c r="C49" s="3" t="s">
        <v>38</v>
      </c>
      <c r="D49" s="3" t="s">
        <v>15</v>
      </c>
      <c r="E49" s="3" t="s">
        <v>13</v>
      </c>
      <c r="F49" s="4">
        <v>63.0</v>
      </c>
      <c r="G49" s="4">
        <v>1793.0</v>
      </c>
      <c r="H49" s="5">
        <v>44974.0</v>
      </c>
      <c r="I49" s="4">
        <v>112959.0</v>
      </c>
      <c r="J49" s="2"/>
    </row>
    <row r="50">
      <c r="A50" s="3" t="s">
        <v>81</v>
      </c>
      <c r="B50" s="3" t="s">
        <v>21</v>
      </c>
      <c r="C50" s="3" t="s">
        <v>27</v>
      </c>
      <c r="D50" s="3" t="s">
        <v>70</v>
      </c>
      <c r="E50" s="3" t="s">
        <v>16</v>
      </c>
      <c r="F50" s="4">
        <v>64.0</v>
      </c>
      <c r="G50" s="4">
        <v>3764.0</v>
      </c>
      <c r="H50" s="5">
        <v>44975.0</v>
      </c>
      <c r="I50" s="4">
        <v>240896.0</v>
      </c>
      <c r="J50" s="2"/>
    </row>
    <row r="51">
      <c r="A51" s="3" t="s">
        <v>82</v>
      </c>
      <c r="B51" s="3" t="s">
        <v>32</v>
      </c>
      <c r="C51" s="3" t="s">
        <v>11</v>
      </c>
      <c r="D51" s="3" t="s">
        <v>70</v>
      </c>
      <c r="E51" s="3" t="s">
        <v>16</v>
      </c>
      <c r="F51" s="4">
        <v>83.0</v>
      </c>
      <c r="G51" s="4">
        <v>4055.0</v>
      </c>
      <c r="H51" s="5">
        <v>44976.0</v>
      </c>
      <c r="I51" s="4">
        <v>336565.0</v>
      </c>
      <c r="J51" s="2"/>
    </row>
    <row r="52">
      <c r="A52" s="3"/>
      <c r="B52" s="3"/>
      <c r="C52" s="3"/>
      <c r="D52" s="3"/>
      <c r="E52" s="3"/>
      <c r="F52" s="4"/>
      <c r="G52" s="4"/>
      <c r="H52" s="5"/>
      <c r="I52" s="4"/>
    </row>
    <row r="53">
      <c r="A53" s="6">
        <v>1.0</v>
      </c>
      <c r="B53" s="3" t="str">
        <f>VLOOKUP("E1002",A2:I51,3,FALSE)</f>
        <v>Sales</v>
      </c>
      <c r="C53" s="3"/>
      <c r="D53" s="3"/>
      <c r="E53" s="3"/>
      <c r="F53" s="4"/>
      <c r="G53" s="4"/>
      <c r="H53" s="5"/>
      <c r="I53" s="4"/>
    </row>
    <row r="54">
      <c r="A54" s="6">
        <v>2.0</v>
      </c>
      <c r="B54" s="7" t="str">
        <f>HLOOKUP(D2,A2:I51,7,FALSE)</f>
        <v>Tablet</v>
      </c>
      <c r="C54" s="3"/>
      <c r="D54" s="3"/>
      <c r="E54" s="3"/>
      <c r="F54" s="4"/>
      <c r="G54" s="4"/>
      <c r="H54" s="5"/>
      <c r="I54" s="4"/>
    </row>
    <row r="55">
      <c r="A55" s="6">
        <v>3.0</v>
      </c>
      <c r="B55" s="6" t="str">
        <f t="array" ref="B55">_xlfn.XLOOKUP("E1001",A2:A51,E2:E51)</f>
        <v>South</v>
      </c>
      <c r="C55" s="3"/>
      <c r="D55" s="3"/>
      <c r="E55" s="3"/>
      <c r="F55" s="4"/>
      <c r="G55" s="4"/>
      <c r="H55" s="5"/>
      <c r="I55" s="4"/>
    </row>
    <row r="56">
      <c r="A56" s="6">
        <v>4.0</v>
      </c>
      <c r="B56" s="6">
        <f>VLOOKUP(A10,A1:I51,7,TRUE)</f>
        <v>3168</v>
      </c>
      <c r="C56" s="3"/>
      <c r="D56" s="3"/>
      <c r="E56" s="3"/>
      <c r="F56" s="4"/>
      <c r="G56" s="4"/>
      <c r="H56" s="5"/>
      <c r="I56" s="4"/>
    </row>
    <row r="57">
      <c r="A57" s="6">
        <v>5.0</v>
      </c>
      <c r="B57" s="3">
        <f t="array" ref="B57">INDEX(G2:G51,MATCH(A10,A2:A51,0))</f>
        <v>3168</v>
      </c>
      <c r="C57" s="3"/>
      <c r="D57" s="3"/>
      <c r="E57" s="3"/>
      <c r="F57" s="4"/>
      <c r="G57" s="4"/>
      <c r="H57" s="5"/>
      <c r="I57" s="4"/>
    </row>
    <row r="58">
      <c r="A58" s="6">
        <v>6.0</v>
      </c>
      <c r="B58" s="3">
        <f t="array" ref="B58">_xlfn.XLOOKUP(A10,A2:A51,I2:I51,"NOT FOUND",0,1)</f>
        <v>278784</v>
      </c>
      <c r="C58" s="3"/>
      <c r="D58" s="3"/>
      <c r="E58" s="3"/>
      <c r="F58" s="4"/>
      <c r="G58" s="4"/>
      <c r="H58" s="5"/>
      <c r="I58" s="4"/>
    </row>
    <row r="59">
      <c r="A59" s="6">
        <v>7.0</v>
      </c>
      <c r="B59" s="3">
        <f t="array" ref="B59">_xlfn.XLOOKUP(D9,D2:D51,F2:F51,"NOT FOUND",0,1)</f>
        <v>20</v>
      </c>
      <c r="C59" s="3"/>
      <c r="D59" s="3"/>
      <c r="E59" s="3"/>
      <c r="F59" s="4"/>
      <c r="G59" s="4"/>
      <c r="H59" s="5"/>
      <c r="I59" s="4"/>
    </row>
    <row r="60">
      <c r="A60" s="6">
        <v>8.0</v>
      </c>
      <c r="B60" s="3" t="str">
        <f>LOOKUP(B10,B2:B51,B2:B51)</f>
        <v>Jack</v>
      </c>
      <c r="C60" s="3"/>
      <c r="D60" s="3"/>
      <c r="E60" s="3"/>
      <c r="F60" s="4"/>
      <c r="G60" s="4"/>
      <c r="H60" s="5"/>
      <c r="I60" s="4"/>
    </row>
    <row r="61">
      <c r="A61" s="6">
        <v>9.0</v>
      </c>
      <c r="B61" s="3">
        <f>IFERROR(__xludf.DUMMYFUNCTION("FILTER(F2:F51,F2:F51&gt;90)"),95.0)</f>
        <v>95</v>
      </c>
      <c r="C61" s="3"/>
      <c r="D61" s="3"/>
      <c r="E61" s="3"/>
      <c r="F61" s="4"/>
      <c r="G61" s="4"/>
      <c r="H61" s="5"/>
      <c r="I61" s="4"/>
    </row>
    <row r="62">
      <c r="A62" s="3"/>
      <c r="B62" s="3">
        <f>IFERROR(__xludf.DUMMYFUNCTION("""COMPUTED_VALUE"""),99.0)</f>
        <v>99</v>
      </c>
      <c r="C62" s="3"/>
      <c r="D62" s="3"/>
      <c r="E62" s="3"/>
      <c r="F62" s="4"/>
      <c r="G62" s="4"/>
      <c r="H62" s="5"/>
      <c r="I62" s="4"/>
    </row>
    <row r="63">
      <c r="A63" s="3"/>
      <c r="B63" s="3">
        <f>IFERROR(__xludf.DUMMYFUNCTION("""COMPUTED_VALUE"""),99.0)</f>
        <v>99</v>
      </c>
      <c r="C63" s="3"/>
      <c r="D63" s="3"/>
      <c r="E63" s="3"/>
      <c r="F63" s="4"/>
      <c r="G63" s="4"/>
      <c r="H63" s="5"/>
      <c r="I63" s="4"/>
    </row>
    <row r="64">
      <c r="A64" s="3"/>
      <c r="B64" s="3">
        <f>IFERROR(__xludf.DUMMYFUNCTION("""COMPUTED_VALUE"""),97.0)</f>
        <v>97</v>
      </c>
      <c r="C64" s="3"/>
      <c r="D64" s="3"/>
      <c r="E64" s="3"/>
      <c r="F64" s="4"/>
      <c r="G64" s="4"/>
      <c r="H64" s="5"/>
      <c r="I64" s="4"/>
    </row>
    <row r="65">
      <c r="A65" s="3"/>
      <c r="B65" s="3">
        <f>IFERROR(__xludf.DUMMYFUNCTION("""COMPUTED_VALUE"""),94.0)</f>
        <v>94</v>
      </c>
      <c r="C65" s="3"/>
      <c r="D65" s="3"/>
      <c r="E65" s="3"/>
      <c r="F65" s="4"/>
      <c r="G65" s="4"/>
      <c r="H65" s="5"/>
      <c r="I65" s="4"/>
    </row>
    <row r="66">
      <c r="A66" s="6">
        <v>10.0</v>
      </c>
      <c r="B66" s="7" t="str">
        <f>CHOOSE(3,"Laptop","Phone","Tablet")</f>
        <v>Tablet</v>
      </c>
      <c r="C66" s="3"/>
      <c r="D66" s="3"/>
      <c r="E66" s="3"/>
      <c r="F66" s="4"/>
      <c r="G66" s="4"/>
      <c r="H66" s="5"/>
      <c r="I66" s="4"/>
    </row>
    <row r="67">
      <c r="A67" s="3"/>
      <c r="B67" s="3"/>
      <c r="C67" s="3"/>
      <c r="D67" s="3"/>
      <c r="E67" s="3"/>
      <c r="F67" s="4"/>
      <c r="G67" s="4"/>
      <c r="H67" s="5"/>
      <c r="I67" s="4"/>
    </row>
    <row r="68">
      <c r="A68" s="3"/>
      <c r="B68" s="3"/>
      <c r="C68" s="3"/>
      <c r="D68" s="3"/>
      <c r="E68" s="3"/>
      <c r="F68" s="4"/>
      <c r="G68" s="4"/>
      <c r="H68" s="5"/>
      <c r="I68" s="4"/>
    </row>
    <row r="69">
      <c r="A69" s="3"/>
      <c r="B69" s="3"/>
      <c r="C69" s="3"/>
      <c r="D69" s="3"/>
      <c r="E69" s="3"/>
      <c r="F69" s="4"/>
      <c r="G69" s="4"/>
      <c r="H69" s="5"/>
      <c r="I69" s="4"/>
    </row>
    <row r="70">
      <c r="A70" s="3"/>
      <c r="B70" s="3"/>
      <c r="C70" s="3"/>
      <c r="D70" s="3"/>
      <c r="E70" s="3"/>
      <c r="F70" s="4"/>
      <c r="G70" s="4"/>
      <c r="H70" s="5"/>
      <c r="I70" s="4"/>
    </row>
    <row r="71">
      <c r="A71" s="3"/>
      <c r="B71" s="3"/>
      <c r="C71" s="3"/>
      <c r="D71" s="3"/>
      <c r="E71" s="3"/>
      <c r="F71" s="4"/>
      <c r="G71" s="4"/>
      <c r="H71" s="5"/>
      <c r="I71" s="4"/>
    </row>
    <row r="72">
      <c r="A72" s="3"/>
      <c r="B72" s="3"/>
      <c r="C72" s="3"/>
      <c r="D72" s="3"/>
      <c r="E72" s="3"/>
      <c r="F72" s="4"/>
      <c r="G72" s="4"/>
      <c r="H72" s="5"/>
      <c r="I72" s="4"/>
    </row>
    <row r="73">
      <c r="A73" s="3"/>
      <c r="B73" s="3"/>
      <c r="C73" s="3"/>
      <c r="D73" s="3"/>
      <c r="E73" s="3"/>
      <c r="F73" s="4"/>
      <c r="G73" s="4"/>
      <c r="H73" s="5"/>
      <c r="I73" s="4"/>
    </row>
    <row r="74">
      <c r="A74" s="8" t="s">
        <v>83</v>
      </c>
    </row>
    <row r="75"/>
    <row r="76"/>
    <row r="77"/>
    <row r="78"/>
    <row r="79"/>
    <row r="80"/>
    <row r="81"/>
    <row r="82"/>
    <row r="84">
      <c r="A84" s="8" t="s">
        <v>86</v>
      </c>
    </row>
    <row r="85"/>
    <row r="86"/>
    <row r="87"/>
    <row r="88"/>
    <row r="89"/>
    <row r="90"/>
    <row r="91"/>
    <row r="93">
      <c r="A93" s="8" t="s">
        <v>88</v>
      </c>
    </row>
    <row r="94"/>
    <row r="95"/>
    <row r="96"/>
    <row r="97"/>
    <row r="98"/>
    <row r="99"/>
    <row r="100"/>
    <row r="101"/>
    <row r="104">
      <c r="A104" s="8" t="s">
        <v>90</v>
      </c>
    </row>
    <row r="105"/>
    <row r="106"/>
    <row r="107"/>
    <row r="108"/>
    <row r="109"/>
    <row r="110"/>
    <row r="111"/>
    <row r="112">
      <c r="A112" s="8" t="s">
        <v>92</v>
      </c>
    </row>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c r="A154" s="7" t="s">
        <v>93</v>
      </c>
      <c r="B154" s="7" t="s">
        <v>94</v>
      </c>
    </row>
    <row r="155">
      <c r="A155" s="9" t="s">
        <v>95</v>
      </c>
      <c r="B155" s="7">
        <v>4155966.0</v>
      </c>
    </row>
    <row r="156">
      <c r="A156" s="9" t="s">
        <v>96</v>
      </c>
      <c r="B156" s="7">
        <v>3833717.0</v>
      </c>
    </row>
    <row r="157">
      <c r="A157" s="7" t="s">
        <v>85</v>
      </c>
      <c r="B157" s="7">
        <v>7989683.0</v>
      </c>
    </row>
    <row r="160">
      <c r="A160" s="8" t="s">
        <v>97</v>
      </c>
    </row>
    <row r="161"/>
    <row r="162"/>
    <row r="163"/>
    <row r="164"/>
    <row r="165">
      <c r="H165" s="8" t="s">
        <v>98</v>
      </c>
    </row>
    <row r="186">
      <c r="A186" s="8" t="s">
        <v>99</v>
      </c>
    </row>
    <row r="187"/>
    <row r="188"/>
    <row r="189"/>
    <row r="190"/>
    <row r="191"/>
    <row r="192"/>
    <row r="193"/>
    <row r="195">
      <c r="A195" s="8" t="s">
        <v>102</v>
      </c>
    </row>
    <row r="196"/>
    <row r="197"/>
    <row r="198"/>
    <row r="199"/>
    <row r="200"/>
    <row r="201"/>
    <row r="202"/>
  </sheetData>
  <customSheetViews>
    <customSheetView guid="{2C70929F-4309-486A-9219-6863CB20E7B7}" filter="1" showAutoFilter="1">
      <autoFilter ref="$A$1:$I$51"/>
    </customSheetView>
  </customSheetViews>
  <drawing r:id="rId9"/>
  <tableParts count="1">
    <tablePart r:id="rId11"/>
  </tableParts>
  <extLst>
    <ext uri="{3A4CF648-6AED-40f4-86FF-DC5316D8AED3}">
      <x14:slicerList>
        <x14:slicer r:id="rId12"/>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