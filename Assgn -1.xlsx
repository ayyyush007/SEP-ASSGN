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SEPday1to5-main\SEPday1to5-main\"/>
    </mc:Choice>
  </mc:AlternateContent>
  <xr:revisionPtr revIDLastSave="0" documentId="11_5680B3299C5DEF86491B887130661A1A7DBE1D34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8" i="1" l="1"/>
  <c r="M48" i="1"/>
  <c r="L48" i="1"/>
  <c r="K48" i="1"/>
  <c r="J48" i="1"/>
  <c r="I48" i="1"/>
  <c r="H48" i="1"/>
  <c r="F48" i="1"/>
  <c r="E48" i="1"/>
  <c r="A48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G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G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G6" i="1"/>
  <c r="G48" i="1" s="1"/>
  <c r="I5" i="1"/>
  <c r="H5" i="1"/>
  <c r="I4" i="1"/>
  <c r="H4" i="1"/>
  <c r="I3" i="1"/>
  <c r="H3" i="1"/>
  <c r="I2" i="1"/>
  <c r="H2" i="1"/>
  <c r="H6" i="1" l="1"/>
  <c r="B48" i="1"/>
  <c r="C48" i="1"/>
  <c r="D48" i="1"/>
</calcChain>
</file>

<file path=xl/sharedStrings.xml><?xml version="1.0" encoding="utf-8"?>
<sst xmlns="http://schemas.openxmlformats.org/spreadsheetml/2006/main" count="152" uniqueCount="42">
  <si>
    <t>OrderDate</t>
  </si>
  <si>
    <t>Region</t>
  </si>
  <si>
    <t>Rep</t>
  </si>
  <si>
    <t>Item</t>
  </si>
  <si>
    <t>Units</t>
  </si>
  <si>
    <t>Unit Cost</t>
  </si>
  <si>
    <t>Total</t>
  </si>
  <si>
    <t>Order Size</t>
  </si>
  <si>
    <t>Rep Sign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</si>
  <si>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</si>
  <si>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</si>
  <si>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</si>
  <si>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</si>
  <si>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</si>
  <si>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</si>
  <si>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</si>
  <si>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</si>
  <si>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</si>
  <si>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</si>
  <si>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</si>
  <si>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</si>
  <si>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</si>
  <si>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</si>
  <si>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</si>
  <si>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</si>
  <si>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</si>
  <si>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</si>
  <si>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</si>
  <si>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 xml:space="preserve">Count blank </t>
  </si>
  <si>
    <t>non-empty</t>
  </si>
  <si>
    <t xml:space="preserve">overall sales </t>
  </si>
  <si>
    <t>number of order transactions</t>
  </si>
  <si>
    <t xml:space="preserve"> average Unit Cost</t>
  </si>
  <si>
    <t xml:space="preserve">maximum number of Units </t>
  </si>
  <si>
    <t>Lowest Total order</t>
  </si>
  <si>
    <t>item "Pencil</t>
  </si>
  <si>
    <t xml:space="preserve"> Total revenue east </t>
  </si>
  <si>
    <t>"Central" region</t>
  </si>
  <si>
    <t>rep "Jones".</t>
  </si>
  <si>
    <t xml:space="preserve">"Binder" items. </t>
  </si>
  <si>
    <t xml:space="preserve"> "Jones" fulfilled in the "East" region.</t>
  </si>
  <si>
    <t xml:space="preserve"> "Jardine".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</si>
</sst>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6" x14ac:knownFonts="1">
    <font>
      <sz val="10"/>
      <color rgb="FF000000"/>
      <name val="Arial"/>
      <scheme val="minor"/>
    </font>
    <font>
      <b/>
      <sz val="14"/>
      <color theme="1"/>
      <name val="Calibri"/>
    </font>
    <font>
      <b/>
      <sz val="10"/>
      <color theme="1"/>
      <name val="Arial"/>
      <scheme val="minor"/>
    </font>
    <font>
      <sz val="14"/>
      <color theme="1"/>
      <name val="Calibri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8"/>
  <sheetViews>
    <sheetView tabSelected="1" workbookViewId="0"/>
  </sheetViews>
  <sheetFormatPr defaultColWidth="12.6640625" defaultRowHeight="15.75" customHeight="1" x14ac:dyDescent="0.25"/>
  <cols>
    <col min="1" max="26" width="24.44140625" customWidth="1"/>
  </cols>
  <sheetData>
    <row r="1" spans="1:9" ht="15.7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 ht="15.75" customHeight="1" x14ac:dyDescent="0.35">
      <c r="A2" s="5">
        <v>46028</v>
      </c>
      <c r="B2" s="6" t="s">
        <v>9</v>
      </c>
      <c r="C2" s="6" t="s">
        <v>10</v>
      </c>
      <c r="D2" s="6" t="s">
        <v>11</v>
      </c>
      <c r="E2" s="7">
        <v>95</v>
      </c>
      <c r="F2" s="8">
        <v>1.99</v>
      </c>
      <c r="G2" s="8">
        <v>189.05</v>
      </c>
      <c r="H2" s="9" t="str">
        <f t="shared" ref="H2:H44" si="0">IF(G2:G44&gt;500,"High Value","Standard")</f>
        <v>Standard</v>
      </c>
      <c r="I2" s="9" t="str">
        <f t="shared" ref="I2:I44" si="1">CONCATENATE(C2,"(",B2,")")</f>
        <v>Jones(East)</v>
      </c>
    </row>
    <row r="3" spans="1:9" ht="15.75" customHeight="1" x14ac:dyDescent="0.35">
      <c r="A3" s="5">
        <v>46045</v>
      </c>
      <c r="B3" s="6" t="s">
        <v>12</v>
      </c>
      <c r="C3" s="6" t="s">
        <v>13</v>
      </c>
      <c r="D3" s="6" t="s">
        <v>14</v>
      </c>
      <c r="E3" s="7">
        <v>50</v>
      </c>
      <c r="F3" s="8">
        <v>19.989999999999998</v>
      </c>
      <c r="G3" s="8">
        <v>999.49999999999989</v>
      </c>
      <c r="H3" s="9" t="str">
        <f t="shared" si="0"/>
        <v>High Value</v>
      </c>
      <c r="I3" s="9" t="str">
        <f t="shared" si="1"/>
        <v>Kivell(Central)</v>
      </c>
    </row>
    <row r="4" spans="1:9" ht="15.75" customHeight="1" x14ac:dyDescent="0.35">
      <c r="A4" s="5">
        <v>46062</v>
      </c>
      <c r="B4" s="6" t="s">
        <v>12</v>
      </c>
      <c r="C4" s="6" t="s">
        <v>15</v>
      </c>
      <c r="D4" s="6" t="s">
        <v>11</v>
      </c>
      <c r="E4" s="7">
        <v>36</v>
      </c>
      <c r="F4" s="8">
        <v>4.99</v>
      </c>
      <c r="G4" s="8">
        <v>179.64000000000001</v>
      </c>
      <c r="H4" s="9" t="str">
        <f t="shared" si="0"/>
        <v>Standard</v>
      </c>
      <c r="I4" s="9" t="str">
        <f t="shared" si="1"/>
        <v>Jardine(Central)</v>
      </c>
    </row>
    <row r="5" spans="1:9" ht="15.75" customHeight="1" x14ac:dyDescent="0.35">
      <c r="A5" s="5">
        <v>46079</v>
      </c>
      <c r="B5" s="6" t="s">
        <v>12</v>
      </c>
      <c r="C5" s="6" t="s">
        <v>16</v>
      </c>
      <c r="D5" s="6" t="s">
        <v>17</v>
      </c>
      <c r="E5" s="7">
        <v>27</v>
      </c>
      <c r="F5" s="8">
        <v>19.989999999999998</v>
      </c>
      <c r="G5" s="8">
        <v>539.7299999999999</v>
      </c>
      <c r="H5" s="9" t="str">
        <f t="shared" si="0"/>
        <v>High Value</v>
      </c>
      <c r="I5" s="9" t="str">
        <f t="shared" si="1"/>
        <v>Gill(Central)</v>
      </c>
    </row>
    <row r="6" spans="1:9" ht="15.75" customHeight="1" x14ac:dyDescent="0.35">
      <c r="A6" s="5">
        <v>46096</v>
      </c>
      <c r="B6" s="6" t="s">
        <v>18</v>
      </c>
      <c r="C6" s="6" t="s">
        <v>19</v>
      </c>
      <c r="D6" s="6" t="s">
        <v>11</v>
      </c>
      <c r="E6" s="7">
        <v>56</v>
      </c>
      <c r="F6" s="8">
        <v>2.99</v>
      </c>
      <c r="G6" s="10">
        <f>E6*F6</f>
        <v>167.44</v>
      </c>
      <c r="H6" s="9" t="str">
        <f t="shared" si="0"/>
        <v>Standard</v>
      </c>
      <c r="I6" s="9" t="str">
        <f t="shared" si="1"/>
        <v>Sorvino(West)</v>
      </c>
    </row>
    <row r="7" spans="1:9" ht="15.75" customHeight="1" x14ac:dyDescent="0.35">
      <c r="A7" s="5">
        <v>46113</v>
      </c>
      <c r="B7" s="6" t="s">
        <v>9</v>
      </c>
      <c r="C7" s="6" t="s">
        <v>10</v>
      </c>
      <c r="D7" s="6" t="s">
        <v>14</v>
      </c>
      <c r="E7" s="7">
        <v>60</v>
      </c>
      <c r="F7" s="8">
        <v>4.99</v>
      </c>
      <c r="G7" s="8">
        <v>299.40000000000003</v>
      </c>
      <c r="H7" s="9" t="str">
        <f t="shared" si="0"/>
        <v>Standard</v>
      </c>
      <c r="I7" s="9" t="str">
        <f t="shared" si="1"/>
        <v>Jones(East)</v>
      </c>
    </row>
    <row r="8" spans="1:9" ht="15.75" customHeight="1" x14ac:dyDescent="0.35">
      <c r="A8" s="5">
        <v>46130</v>
      </c>
      <c r="B8" s="6" t="s">
        <v>12</v>
      </c>
      <c r="C8" s="6" t="s">
        <v>20</v>
      </c>
      <c r="D8" s="6" t="s">
        <v>11</v>
      </c>
      <c r="E8" s="7">
        <v>75</v>
      </c>
      <c r="F8" s="8">
        <v>1.99</v>
      </c>
      <c r="G8" s="8">
        <v>149.25</v>
      </c>
      <c r="H8" s="9" t="str">
        <f t="shared" si="0"/>
        <v>Standard</v>
      </c>
      <c r="I8" s="9" t="str">
        <f t="shared" si="1"/>
        <v>Andrews(Central)</v>
      </c>
    </row>
    <row r="9" spans="1:9" ht="15.75" customHeight="1" x14ac:dyDescent="0.35">
      <c r="A9" s="5">
        <v>46147</v>
      </c>
      <c r="B9" s="6" t="s">
        <v>12</v>
      </c>
      <c r="C9" s="6" t="s">
        <v>15</v>
      </c>
      <c r="D9" s="6" t="s">
        <v>11</v>
      </c>
      <c r="E9" s="7">
        <v>90</v>
      </c>
      <c r="F9" s="8">
        <v>4.99</v>
      </c>
      <c r="G9" s="8">
        <v>449.1</v>
      </c>
      <c r="H9" s="9" t="str">
        <f t="shared" si="0"/>
        <v>Standard</v>
      </c>
      <c r="I9" s="9" t="str">
        <f t="shared" si="1"/>
        <v>Jardine(Central)</v>
      </c>
    </row>
    <row r="10" spans="1:9" ht="15.75" customHeight="1" x14ac:dyDescent="0.35">
      <c r="A10" s="5">
        <v>46164</v>
      </c>
      <c r="B10" s="6" t="s">
        <v>18</v>
      </c>
      <c r="C10" s="6" t="s">
        <v>21</v>
      </c>
      <c r="D10" s="6" t="s">
        <v>11</v>
      </c>
      <c r="E10" s="7">
        <v>32</v>
      </c>
      <c r="F10" s="8">
        <v>1.99</v>
      </c>
      <c r="G10" s="8">
        <v>63.68</v>
      </c>
      <c r="H10" s="9" t="str">
        <f t="shared" si="0"/>
        <v>Standard</v>
      </c>
      <c r="I10" s="9" t="str">
        <f t="shared" si="1"/>
        <v>Thompson(West)</v>
      </c>
    </row>
    <row r="11" spans="1:9" ht="15.75" customHeight="1" x14ac:dyDescent="0.35">
      <c r="A11" s="5">
        <v>46181</v>
      </c>
      <c r="B11" s="6" t="s">
        <v>9</v>
      </c>
      <c r="C11" s="6" t="s">
        <v>10</v>
      </c>
      <c r="D11" s="6" t="s">
        <v>14</v>
      </c>
      <c r="E11" s="7">
        <v>60</v>
      </c>
      <c r="F11" s="8">
        <v>8.99</v>
      </c>
      <c r="G11" s="8">
        <v>539.4</v>
      </c>
      <c r="H11" s="9" t="str">
        <f t="shared" si="0"/>
        <v>High Value</v>
      </c>
      <c r="I11" s="9" t="str">
        <f t="shared" si="1"/>
        <v>Jones(East)</v>
      </c>
    </row>
    <row r="12" spans="1:9" ht="15.75" customHeight="1" x14ac:dyDescent="0.35">
      <c r="A12" s="5">
        <v>46198</v>
      </c>
      <c r="B12" s="6" t="s">
        <v>12</v>
      </c>
      <c r="C12" s="6" t="s">
        <v>22</v>
      </c>
      <c r="D12" s="6" t="s">
        <v>11</v>
      </c>
      <c r="E12" s="7">
        <v>90</v>
      </c>
      <c r="F12" s="8">
        <v>4.99</v>
      </c>
      <c r="G12" s="8">
        <v>449.1</v>
      </c>
      <c r="H12" s="9" t="str">
        <f t="shared" si="0"/>
        <v>Standard</v>
      </c>
      <c r="I12" s="9" t="str">
        <f t="shared" si="1"/>
        <v>Morgan(Central)</v>
      </c>
    </row>
    <row r="13" spans="1:9" ht="15.75" customHeight="1" x14ac:dyDescent="0.35">
      <c r="A13" s="5">
        <v>46215</v>
      </c>
      <c r="B13" s="6" t="s">
        <v>9</v>
      </c>
      <c r="C13" s="6" t="s">
        <v>23</v>
      </c>
      <c r="D13" s="6" t="s">
        <v>14</v>
      </c>
      <c r="E13" s="7">
        <v>29</v>
      </c>
      <c r="F13" s="8">
        <v>1.99</v>
      </c>
      <c r="G13" s="8">
        <v>57.71</v>
      </c>
      <c r="H13" s="9" t="str">
        <f t="shared" si="0"/>
        <v>Standard</v>
      </c>
      <c r="I13" s="9" t="str">
        <f t="shared" si="1"/>
        <v>Howard(East)</v>
      </c>
    </row>
    <row r="14" spans="1:9" ht="15.75" customHeight="1" x14ac:dyDescent="0.35">
      <c r="A14" s="5">
        <v>46232</v>
      </c>
      <c r="B14" s="6" t="s">
        <v>9</v>
      </c>
      <c r="C14" s="6" t="s">
        <v>24</v>
      </c>
      <c r="D14" s="6" t="s">
        <v>14</v>
      </c>
      <c r="E14" s="7">
        <v>81</v>
      </c>
      <c r="F14" s="8">
        <v>19.989999999999998</v>
      </c>
      <c r="G14" s="8">
        <v>1619.1899999999998</v>
      </c>
      <c r="H14" s="9" t="str">
        <f t="shared" si="0"/>
        <v>High Value</v>
      </c>
      <c r="I14" s="9" t="str">
        <f t="shared" si="1"/>
        <v>Parent(East)</v>
      </c>
    </row>
    <row r="15" spans="1:9" ht="15.75" customHeight="1" x14ac:dyDescent="0.35">
      <c r="A15" s="5">
        <v>46249</v>
      </c>
      <c r="B15" s="6" t="s">
        <v>9</v>
      </c>
      <c r="C15" s="6" t="s">
        <v>10</v>
      </c>
      <c r="D15" s="6" t="s">
        <v>11</v>
      </c>
      <c r="E15" s="7">
        <v>35</v>
      </c>
      <c r="F15" s="8">
        <v>4.99</v>
      </c>
      <c r="G15" s="8">
        <v>174.65</v>
      </c>
      <c r="H15" s="9" t="str">
        <f t="shared" si="0"/>
        <v>Standard</v>
      </c>
      <c r="I15" s="9" t="str">
        <f t="shared" si="1"/>
        <v>Jones(East)</v>
      </c>
    </row>
    <row r="16" spans="1:9" ht="15.75" customHeight="1" x14ac:dyDescent="0.35">
      <c r="A16" s="5">
        <v>46266</v>
      </c>
      <c r="B16" s="6" t="s">
        <v>12</v>
      </c>
      <c r="C16" s="6" t="s">
        <v>25</v>
      </c>
      <c r="D16" s="6" t="s">
        <v>26</v>
      </c>
      <c r="E16" s="7">
        <v>2</v>
      </c>
      <c r="F16" s="8">
        <v>125</v>
      </c>
      <c r="G16" s="8">
        <v>250</v>
      </c>
      <c r="H16" s="9" t="str">
        <f t="shared" si="0"/>
        <v>Standard</v>
      </c>
      <c r="I16" s="9" t="str">
        <f t="shared" si="1"/>
        <v>Smith(Central)</v>
      </c>
    </row>
    <row r="17" spans="1:9" ht="15.75" customHeight="1" x14ac:dyDescent="0.35">
      <c r="A17" s="5">
        <v>46283</v>
      </c>
      <c r="B17" s="6" t="s">
        <v>9</v>
      </c>
      <c r="C17" s="6" t="s">
        <v>10</v>
      </c>
      <c r="D17" s="6" t="s">
        <v>27</v>
      </c>
      <c r="E17" s="7">
        <v>16</v>
      </c>
      <c r="F17" s="8">
        <v>15.99</v>
      </c>
      <c r="G17" s="10">
        <f>E17*F17</f>
        <v>255.84</v>
      </c>
      <c r="H17" s="9" t="str">
        <f t="shared" si="0"/>
        <v>Standard</v>
      </c>
      <c r="I17" s="9" t="str">
        <f t="shared" si="1"/>
        <v>Jones(East)</v>
      </c>
    </row>
    <row r="18" spans="1:9" ht="15.75" customHeight="1" x14ac:dyDescent="0.35">
      <c r="A18" s="5">
        <v>46300</v>
      </c>
      <c r="B18" s="6" t="s">
        <v>12</v>
      </c>
      <c r="C18" s="6" t="s">
        <v>22</v>
      </c>
      <c r="D18" s="6" t="s">
        <v>14</v>
      </c>
      <c r="E18" s="7">
        <v>28</v>
      </c>
      <c r="F18" s="8">
        <v>8.99</v>
      </c>
      <c r="G18" s="8">
        <v>251.72</v>
      </c>
      <c r="H18" s="9" t="str">
        <f t="shared" si="0"/>
        <v>Standard</v>
      </c>
      <c r="I18" s="9" t="str">
        <f t="shared" si="1"/>
        <v>Morgan(Central)</v>
      </c>
    </row>
    <row r="19" spans="1:9" ht="15.75" customHeight="1" x14ac:dyDescent="0.35">
      <c r="A19" s="5">
        <v>46317</v>
      </c>
      <c r="B19" s="6" t="s">
        <v>9</v>
      </c>
      <c r="C19" s="6" t="s">
        <v>10</v>
      </c>
      <c r="D19" s="6" t="s">
        <v>17</v>
      </c>
      <c r="E19" s="7">
        <v>64</v>
      </c>
      <c r="F19" s="8">
        <v>8.99</v>
      </c>
      <c r="G19" s="8">
        <v>575.36</v>
      </c>
      <c r="H19" s="9" t="str">
        <f t="shared" si="0"/>
        <v>High Value</v>
      </c>
      <c r="I19" s="9" t="str">
        <f t="shared" si="1"/>
        <v>Jones(East)</v>
      </c>
    </row>
    <row r="20" spans="1:9" ht="15.75" customHeight="1" x14ac:dyDescent="0.35">
      <c r="A20" s="5">
        <v>46334</v>
      </c>
      <c r="B20" s="6" t="s">
        <v>9</v>
      </c>
      <c r="C20" s="6" t="s">
        <v>24</v>
      </c>
      <c r="D20" s="6" t="s">
        <v>17</v>
      </c>
      <c r="E20" s="7">
        <v>15</v>
      </c>
      <c r="F20" s="8">
        <v>19.989999999999998</v>
      </c>
      <c r="G20" s="8">
        <v>299.84999999999997</v>
      </c>
      <c r="H20" s="9" t="str">
        <f t="shared" si="0"/>
        <v>Standard</v>
      </c>
      <c r="I20" s="9" t="str">
        <f t="shared" si="1"/>
        <v>Parent(East)</v>
      </c>
    </row>
    <row r="21" spans="1:9" ht="15.75" customHeight="1" x14ac:dyDescent="0.35">
      <c r="A21" s="5">
        <v>46351</v>
      </c>
      <c r="B21" s="6" t="s">
        <v>12</v>
      </c>
      <c r="C21" s="6" t="s">
        <v>13</v>
      </c>
      <c r="D21" s="6" t="s">
        <v>27</v>
      </c>
      <c r="E21" s="7">
        <v>96</v>
      </c>
      <c r="F21" s="8">
        <v>4.99</v>
      </c>
      <c r="G21" s="8">
        <v>479.04</v>
      </c>
      <c r="H21" s="9" t="str">
        <f t="shared" si="0"/>
        <v>Standard</v>
      </c>
      <c r="I21" s="9" t="str">
        <f t="shared" si="1"/>
        <v>Kivell(Central)</v>
      </c>
    </row>
    <row r="22" spans="1:9" ht="15.75" customHeight="1" x14ac:dyDescent="0.35">
      <c r="A22" s="5">
        <v>46368</v>
      </c>
      <c r="B22" s="6" t="s">
        <v>12</v>
      </c>
      <c r="C22" s="6" t="s">
        <v>25</v>
      </c>
      <c r="D22" s="6" t="s">
        <v>11</v>
      </c>
      <c r="E22" s="7">
        <v>67</v>
      </c>
      <c r="F22" s="8">
        <v>1.29</v>
      </c>
      <c r="G22" s="8">
        <v>86.43</v>
      </c>
      <c r="H22" s="9" t="str">
        <f t="shared" si="0"/>
        <v>Standard</v>
      </c>
      <c r="I22" s="9" t="str">
        <f t="shared" si="1"/>
        <v>Smith(Central)</v>
      </c>
    </row>
    <row r="23" spans="1:9" ht="15.75" customHeight="1" x14ac:dyDescent="0.35">
      <c r="A23" s="5">
        <v>46385</v>
      </c>
      <c r="B23" s="6" t="s">
        <v>9</v>
      </c>
      <c r="C23" s="6" t="s">
        <v>24</v>
      </c>
      <c r="D23" s="6" t="s">
        <v>27</v>
      </c>
      <c r="E23" s="7">
        <v>74</v>
      </c>
      <c r="F23" s="8">
        <v>15.99</v>
      </c>
      <c r="G23" s="8">
        <v>1183.26</v>
      </c>
      <c r="H23" s="9" t="str">
        <f t="shared" si="0"/>
        <v>High Value</v>
      </c>
      <c r="I23" s="9" t="str">
        <f t="shared" si="1"/>
        <v>Parent(East)</v>
      </c>
    </row>
    <row r="24" spans="1:9" ht="15.75" customHeight="1" x14ac:dyDescent="0.35">
      <c r="A24" s="5">
        <v>46402</v>
      </c>
      <c r="B24" s="6" t="s">
        <v>12</v>
      </c>
      <c r="C24" s="6" t="s">
        <v>16</v>
      </c>
      <c r="D24" s="6" t="s">
        <v>14</v>
      </c>
      <c r="E24" s="7">
        <v>46</v>
      </c>
      <c r="F24" s="8">
        <v>8.99</v>
      </c>
      <c r="G24" s="10">
        <f>E24*F24</f>
        <v>413.54</v>
      </c>
      <c r="H24" s="9" t="str">
        <f t="shared" si="0"/>
        <v>Standard</v>
      </c>
      <c r="I24" s="9" t="str">
        <f t="shared" si="1"/>
        <v>Gill(Central)</v>
      </c>
    </row>
    <row r="25" spans="1:9" ht="15.75" customHeight="1" x14ac:dyDescent="0.35">
      <c r="A25" s="5">
        <v>46419</v>
      </c>
      <c r="B25" s="6" t="s">
        <v>12</v>
      </c>
      <c r="C25" s="6" t="s">
        <v>25</v>
      </c>
      <c r="D25" s="6" t="s">
        <v>14</v>
      </c>
      <c r="E25" s="7">
        <v>87</v>
      </c>
      <c r="F25" s="8">
        <v>15</v>
      </c>
      <c r="G25" s="8">
        <v>1305</v>
      </c>
      <c r="H25" s="9" t="str">
        <f t="shared" si="0"/>
        <v>High Value</v>
      </c>
      <c r="I25" s="9" t="str">
        <f t="shared" si="1"/>
        <v>Smith(Central)</v>
      </c>
    </row>
    <row r="26" spans="1:9" ht="15.75" customHeight="1" x14ac:dyDescent="0.35">
      <c r="A26" s="5">
        <v>46436</v>
      </c>
      <c r="B26" s="6" t="s">
        <v>9</v>
      </c>
      <c r="C26" s="6" t="s">
        <v>10</v>
      </c>
      <c r="D26" s="6" t="s">
        <v>14</v>
      </c>
      <c r="E26" s="7">
        <v>4</v>
      </c>
      <c r="F26" s="8">
        <v>4.99</v>
      </c>
      <c r="G26" s="8">
        <v>19.96</v>
      </c>
      <c r="H26" s="9" t="str">
        <f t="shared" si="0"/>
        <v>Standard</v>
      </c>
      <c r="I26" s="9" t="str">
        <f t="shared" si="1"/>
        <v>Jones(East)</v>
      </c>
    </row>
    <row r="27" spans="1:9" ht="15.75" customHeight="1" x14ac:dyDescent="0.35">
      <c r="A27" s="5">
        <v>46453</v>
      </c>
      <c r="B27" s="6" t="s">
        <v>18</v>
      </c>
      <c r="C27" s="6" t="s">
        <v>19</v>
      </c>
      <c r="D27" s="6" t="s">
        <v>14</v>
      </c>
      <c r="E27" s="7">
        <v>7</v>
      </c>
      <c r="F27" s="8">
        <v>19.989999999999998</v>
      </c>
      <c r="G27" s="8">
        <v>139.92999999999998</v>
      </c>
      <c r="H27" s="9" t="str">
        <f t="shared" si="0"/>
        <v>Standard</v>
      </c>
      <c r="I27" s="9" t="str">
        <f t="shared" si="1"/>
        <v>Sorvino(West)</v>
      </c>
    </row>
    <row r="28" spans="1:9" ht="15.75" customHeight="1" x14ac:dyDescent="0.35">
      <c r="A28" s="5">
        <v>46470</v>
      </c>
      <c r="B28" s="6" t="s">
        <v>12</v>
      </c>
      <c r="C28" s="6" t="s">
        <v>15</v>
      </c>
      <c r="D28" s="6" t="s">
        <v>27</v>
      </c>
      <c r="E28" s="7">
        <v>50</v>
      </c>
      <c r="F28" s="8">
        <v>4.99</v>
      </c>
      <c r="G28" s="8">
        <v>249.5</v>
      </c>
      <c r="H28" s="9" t="str">
        <f t="shared" si="0"/>
        <v>Standard</v>
      </c>
      <c r="I28" s="9" t="str">
        <f t="shared" si="1"/>
        <v>Jardine(Central)</v>
      </c>
    </row>
    <row r="29" spans="1:9" ht="18" x14ac:dyDescent="0.35">
      <c r="A29" s="5">
        <v>46487</v>
      </c>
      <c r="B29" s="6" t="s">
        <v>12</v>
      </c>
      <c r="C29" s="6" t="s">
        <v>20</v>
      </c>
      <c r="D29" s="6" t="s">
        <v>11</v>
      </c>
      <c r="E29" s="7">
        <v>66</v>
      </c>
      <c r="F29" s="8">
        <v>1.99</v>
      </c>
      <c r="G29" s="8">
        <v>131.34</v>
      </c>
      <c r="H29" s="9" t="str">
        <f t="shared" si="0"/>
        <v>Standard</v>
      </c>
      <c r="I29" s="9" t="str">
        <f t="shared" si="1"/>
        <v>Andrews(Central)</v>
      </c>
    </row>
    <row r="30" spans="1:9" ht="18" x14ac:dyDescent="0.35">
      <c r="A30" s="5">
        <v>46504</v>
      </c>
      <c r="B30" s="6" t="s">
        <v>9</v>
      </c>
      <c r="C30" s="6" t="s">
        <v>23</v>
      </c>
      <c r="D30" s="6" t="s">
        <v>17</v>
      </c>
      <c r="E30" s="7">
        <v>96</v>
      </c>
      <c r="F30" s="8">
        <v>4.99</v>
      </c>
      <c r="G30" s="8">
        <v>479.04</v>
      </c>
      <c r="H30" s="9" t="str">
        <f t="shared" si="0"/>
        <v>Standard</v>
      </c>
      <c r="I30" s="9" t="str">
        <f t="shared" si="1"/>
        <v>Howard(East)</v>
      </c>
    </row>
    <row r="31" spans="1:9" ht="18" x14ac:dyDescent="0.35">
      <c r="A31" s="5">
        <v>46521</v>
      </c>
      <c r="B31" s="6" t="s">
        <v>12</v>
      </c>
      <c r="C31" s="6" t="s">
        <v>16</v>
      </c>
      <c r="D31" s="6" t="s">
        <v>11</v>
      </c>
      <c r="E31" s="7">
        <v>53</v>
      </c>
      <c r="F31" s="8">
        <v>1.29</v>
      </c>
      <c r="G31" s="8">
        <v>68.37</v>
      </c>
      <c r="H31" s="9" t="str">
        <f t="shared" si="0"/>
        <v>Standard</v>
      </c>
      <c r="I31" s="9" t="str">
        <f t="shared" si="1"/>
        <v>Gill(Central)</v>
      </c>
    </row>
    <row r="32" spans="1:9" ht="18" x14ac:dyDescent="0.35">
      <c r="A32" s="5">
        <v>46538</v>
      </c>
      <c r="B32" s="6" t="s">
        <v>12</v>
      </c>
      <c r="C32" s="6" t="s">
        <v>16</v>
      </c>
      <c r="D32" s="6" t="s">
        <v>14</v>
      </c>
      <c r="E32" s="7">
        <v>80</v>
      </c>
      <c r="F32" s="8">
        <v>8.99</v>
      </c>
      <c r="G32" s="8">
        <v>719.2</v>
      </c>
      <c r="H32" s="9" t="str">
        <f t="shared" si="0"/>
        <v>High Value</v>
      </c>
      <c r="I32" s="9" t="str">
        <f t="shared" si="1"/>
        <v>Gill(Central)</v>
      </c>
    </row>
    <row r="33" spans="1:14" ht="18" x14ac:dyDescent="0.35">
      <c r="A33" s="5">
        <v>46555</v>
      </c>
      <c r="B33" s="6" t="s">
        <v>12</v>
      </c>
      <c r="C33" s="6" t="s">
        <v>13</v>
      </c>
      <c r="D33" s="6" t="s">
        <v>26</v>
      </c>
      <c r="E33" s="7">
        <v>5</v>
      </c>
      <c r="F33" s="8">
        <v>125</v>
      </c>
      <c r="G33" s="8">
        <v>625</v>
      </c>
      <c r="H33" s="9" t="str">
        <f t="shared" si="0"/>
        <v>High Value</v>
      </c>
      <c r="I33" s="9" t="str">
        <f t="shared" si="1"/>
        <v>Kivell(Central)</v>
      </c>
    </row>
    <row r="34" spans="1:14" ht="18" x14ac:dyDescent="0.35">
      <c r="A34" s="5">
        <v>46572</v>
      </c>
      <c r="B34" s="6" t="s">
        <v>9</v>
      </c>
      <c r="C34" s="6" t="s">
        <v>10</v>
      </c>
      <c r="D34" s="6" t="s">
        <v>27</v>
      </c>
      <c r="E34" s="7">
        <v>62</v>
      </c>
      <c r="F34" s="8">
        <v>4.99</v>
      </c>
      <c r="G34" s="8">
        <v>309.38</v>
      </c>
      <c r="H34" s="9" t="str">
        <f t="shared" si="0"/>
        <v>Standard</v>
      </c>
      <c r="I34" s="9" t="str">
        <f t="shared" si="1"/>
        <v>Jones(East)</v>
      </c>
    </row>
    <row r="35" spans="1:14" ht="18" x14ac:dyDescent="0.35">
      <c r="A35" s="5">
        <v>46589</v>
      </c>
      <c r="B35" s="6" t="s">
        <v>12</v>
      </c>
      <c r="C35" s="6" t="s">
        <v>22</v>
      </c>
      <c r="D35" s="6" t="s">
        <v>27</v>
      </c>
      <c r="E35" s="7">
        <v>55</v>
      </c>
      <c r="F35" s="8">
        <v>12.49</v>
      </c>
      <c r="G35" s="8">
        <v>686.95</v>
      </c>
      <c r="H35" s="9" t="str">
        <f t="shared" si="0"/>
        <v>High Value</v>
      </c>
      <c r="I35" s="9" t="str">
        <f t="shared" si="1"/>
        <v>Morgan(Central)</v>
      </c>
    </row>
    <row r="36" spans="1:14" ht="18" x14ac:dyDescent="0.35">
      <c r="A36" s="5">
        <v>46606</v>
      </c>
      <c r="B36" s="6" t="s">
        <v>12</v>
      </c>
      <c r="C36" s="6" t="s">
        <v>13</v>
      </c>
      <c r="D36" s="6" t="s">
        <v>27</v>
      </c>
      <c r="E36" s="7">
        <v>42</v>
      </c>
      <c r="F36" s="8">
        <v>23.95</v>
      </c>
      <c r="G36" s="8">
        <v>1005.9</v>
      </c>
      <c r="H36" s="9" t="str">
        <f t="shared" si="0"/>
        <v>High Value</v>
      </c>
      <c r="I36" s="9" t="str">
        <f t="shared" si="1"/>
        <v>Kivell(Central)</v>
      </c>
    </row>
    <row r="37" spans="1:14" ht="18" x14ac:dyDescent="0.35">
      <c r="A37" s="5">
        <v>46623</v>
      </c>
      <c r="B37" s="6" t="s">
        <v>18</v>
      </c>
      <c r="C37" s="6" t="s">
        <v>19</v>
      </c>
      <c r="D37" s="6" t="s">
        <v>26</v>
      </c>
      <c r="E37" s="7">
        <v>3</v>
      </c>
      <c r="F37" s="8">
        <v>275</v>
      </c>
      <c r="G37" s="8">
        <v>825</v>
      </c>
      <c r="H37" s="9" t="str">
        <f t="shared" si="0"/>
        <v>High Value</v>
      </c>
      <c r="I37" s="9" t="str">
        <f t="shared" si="1"/>
        <v>Sorvino(West)</v>
      </c>
    </row>
    <row r="38" spans="1:14" ht="18" x14ac:dyDescent="0.35">
      <c r="A38" s="5">
        <v>46640</v>
      </c>
      <c r="B38" s="6" t="s">
        <v>12</v>
      </c>
      <c r="C38" s="6" t="s">
        <v>16</v>
      </c>
      <c r="D38" s="6" t="s">
        <v>11</v>
      </c>
      <c r="E38" s="7">
        <v>7</v>
      </c>
      <c r="F38" s="8">
        <v>1.29</v>
      </c>
      <c r="G38" s="8">
        <v>9.0300000000000011</v>
      </c>
      <c r="H38" s="9" t="str">
        <f t="shared" si="0"/>
        <v>Standard</v>
      </c>
      <c r="I38" s="9" t="str">
        <f t="shared" si="1"/>
        <v>Gill(Central)</v>
      </c>
    </row>
    <row r="39" spans="1:14" ht="18" x14ac:dyDescent="0.35">
      <c r="A39" s="5">
        <v>46657</v>
      </c>
      <c r="B39" s="6" t="s">
        <v>18</v>
      </c>
      <c r="C39" s="6" t="s">
        <v>19</v>
      </c>
      <c r="D39" s="6" t="s">
        <v>17</v>
      </c>
      <c r="E39" s="7">
        <v>76</v>
      </c>
      <c r="F39" s="8">
        <v>1.99</v>
      </c>
      <c r="G39" s="8">
        <v>151.24</v>
      </c>
      <c r="H39" s="9" t="str">
        <f t="shared" si="0"/>
        <v>Standard</v>
      </c>
      <c r="I39" s="9" t="str">
        <f t="shared" si="1"/>
        <v>Sorvino(West)</v>
      </c>
    </row>
    <row r="40" spans="1:14" ht="18" x14ac:dyDescent="0.35">
      <c r="A40" s="5">
        <v>46674</v>
      </c>
      <c r="B40" s="6" t="s">
        <v>18</v>
      </c>
      <c r="C40" s="6" t="s">
        <v>21</v>
      </c>
      <c r="D40" s="6" t="s">
        <v>14</v>
      </c>
      <c r="E40" s="7">
        <v>57</v>
      </c>
      <c r="F40" s="8">
        <v>19.989999999999998</v>
      </c>
      <c r="G40" s="8">
        <v>1139.4299999999998</v>
      </c>
      <c r="H40" s="9" t="str">
        <f t="shared" si="0"/>
        <v>High Value</v>
      </c>
      <c r="I40" s="9" t="str">
        <f t="shared" si="1"/>
        <v>Thompson(West)</v>
      </c>
    </row>
    <row r="41" spans="1:14" ht="18" x14ac:dyDescent="0.35">
      <c r="A41" s="5">
        <v>46691</v>
      </c>
      <c r="B41" s="6" t="s">
        <v>12</v>
      </c>
      <c r="C41" s="6" t="s">
        <v>20</v>
      </c>
      <c r="D41" s="6" t="s">
        <v>11</v>
      </c>
      <c r="E41" s="7">
        <v>14</v>
      </c>
      <c r="F41" s="8">
        <v>1.29</v>
      </c>
      <c r="G41" s="8">
        <v>18.060000000000002</v>
      </c>
      <c r="H41" s="9" t="str">
        <f t="shared" si="0"/>
        <v>Standard</v>
      </c>
      <c r="I41" s="9" t="str">
        <f t="shared" si="1"/>
        <v>Andrews(Central)</v>
      </c>
    </row>
    <row r="42" spans="1:14" ht="18" x14ac:dyDescent="0.35">
      <c r="A42" s="5">
        <v>46708</v>
      </c>
      <c r="B42" s="6" t="s">
        <v>12</v>
      </c>
      <c r="C42" s="6" t="s">
        <v>15</v>
      </c>
      <c r="D42" s="6" t="s">
        <v>14</v>
      </c>
      <c r="E42" s="7">
        <v>11</v>
      </c>
      <c r="F42" s="8">
        <v>4.99</v>
      </c>
      <c r="G42" s="8">
        <v>54.89</v>
      </c>
      <c r="H42" s="9" t="str">
        <f t="shared" si="0"/>
        <v>Standard</v>
      </c>
      <c r="I42" s="9" t="str">
        <f t="shared" si="1"/>
        <v>Jardine(Central)</v>
      </c>
    </row>
    <row r="43" spans="1:14" ht="18" x14ac:dyDescent="0.35">
      <c r="A43" s="5">
        <v>46725</v>
      </c>
      <c r="B43" s="6" t="s">
        <v>12</v>
      </c>
      <c r="C43" s="6" t="s">
        <v>15</v>
      </c>
      <c r="D43" s="6" t="s">
        <v>14</v>
      </c>
      <c r="E43" s="7">
        <v>94</v>
      </c>
      <c r="F43" s="8">
        <v>19.989999999999998</v>
      </c>
      <c r="G43" s="8">
        <v>1879.06</v>
      </c>
      <c r="H43" s="9" t="str">
        <f t="shared" si="0"/>
        <v>High Value</v>
      </c>
      <c r="I43" s="9" t="str">
        <f t="shared" si="1"/>
        <v>Jardine(Central)</v>
      </c>
    </row>
    <row r="44" spans="1:14" ht="18" x14ac:dyDescent="0.35">
      <c r="A44" s="5">
        <v>46742</v>
      </c>
      <c r="B44" s="6" t="s">
        <v>12</v>
      </c>
      <c r="C44" s="6" t="s">
        <v>20</v>
      </c>
      <c r="D44" s="6" t="s">
        <v>14</v>
      </c>
      <c r="E44" s="7">
        <v>28</v>
      </c>
      <c r="F44" s="8">
        <v>4.99</v>
      </c>
      <c r="G44" s="8">
        <v>139.72</v>
      </c>
      <c r="H44" s="9" t="str">
        <f t="shared" si="0"/>
        <v>Standard</v>
      </c>
      <c r="I44" s="9" t="str">
        <f t="shared" si="1"/>
        <v>Andrews(Central)</v>
      </c>
    </row>
    <row r="47" spans="1:14" ht="13.2" x14ac:dyDescent="0.25">
      <c r="A47" s="9" t="s">
        <v>28</v>
      </c>
      <c r="B47" s="9" t="s">
        <v>29</v>
      </c>
      <c r="C47" s="11" t="s">
        <v>30</v>
      </c>
      <c r="D47" s="9" t="s">
        <v>31</v>
      </c>
      <c r="E47" s="9" t="s">
        <v>32</v>
      </c>
      <c r="F47" s="9" t="s">
        <v>33</v>
      </c>
      <c r="G47" s="9" t="s">
        <v>34</v>
      </c>
      <c r="H47" s="9" t="s">
        <v>35</v>
      </c>
      <c r="I47" s="9" t="s">
        <v>36</v>
      </c>
      <c r="J47" s="9" t="s">
        <v>37</v>
      </c>
      <c r="K47" s="9" t="s">
        <v>38</v>
      </c>
      <c r="L47" s="9" t="s">
        <v>39</v>
      </c>
      <c r="M47" s="9" t="s">
        <v>40</v>
      </c>
      <c r="N47" s="9" t="s">
        <v>41</v>
      </c>
    </row>
    <row r="48" spans="1:14" ht="13.2" x14ac:dyDescent="0.25">
      <c r="A48" s="12">
        <f>COUNTBLANK(G2:G44)</f>
        <v>0</v>
      </c>
      <c r="B48" s="9">
        <f>COUNT(G2:G44)</f>
        <v>43</v>
      </c>
      <c r="C48" s="13">
        <f>SUM(G2:G44)</f>
        <v>19627.880000000008</v>
      </c>
      <c r="D48" s="9">
        <f>COUNT(G2:G44)</f>
        <v>43</v>
      </c>
      <c r="E48" s="13">
        <f>AVERAGE(F2:F44)</f>
        <v>20.308604651162792</v>
      </c>
      <c r="F48" s="9">
        <f>MAX(E2:E44)</f>
        <v>96</v>
      </c>
      <c r="G48" s="13">
        <f>MIN(G2:G44)</f>
        <v>9.0300000000000011</v>
      </c>
      <c r="H48" s="9">
        <f>COUNTIF(D2:D44,"pencil")</f>
        <v>13</v>
      </c>
      <c r="I48" s="9">
        <f>SUMIF(B2:B44,"East",G2:G44)</f>
        <v>6002.09</v>
      </c>
      <c r="J48" s="9">
        <f>COUNTIF(B2:B44,"Central")</f>
        <v>24</v>
      </c>
      <c r="K48" s="9">
        <f>SUMIF(C2:C44,"jones",E2:E44)</f>
        <v>396</v>
      </c>
      <c r="L48" s="9">
        <f>AVERAGEIF(D2:D44,"Binder",G2:G44)</f>
        <v>638.51</v>
      </c>
      <c r="M48" s="9">
        <f>COUNTIFS(C2:C44,"Jones",B2:B44,"East")</f>
        <v>8</v>
      </c>
      <c r="N48" s="9">
        <f>SUMIFS(G2:G44,D2:D44,"Pencil",C2:C44,"Jardine")</f>
        <v>628.74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Sankar</cp:lastModifiedBy>
  <dcterms:modified xsi:type="dcterms:W3CDTF">2026-09-06T15:20:28Z</dcterms:modified>
</cp:coreProperties>
</file>